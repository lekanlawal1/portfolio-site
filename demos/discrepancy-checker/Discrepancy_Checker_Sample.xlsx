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bout" sheetId="1" state="visible" r:id="rId1"/>
    <sheet name="Dashboard" sheetId="2" state="visible" r:id="rId2"/>
    <sheet name="Inventory" sheetId="3" state="visible" r:id="rId3"/>
    <sheet name="Receiving" sheetId="4" state="visible" r:id="rId4"/>
    <sheet name="Billing" sheetId="5" state="visible" r:id="rId5"/>
    <sheet name="Items" sheetId="6" state="visible" r:id="rId6"/>
    <sheet name="Lists" sheetId="7" state="visible" r:id="rId7"/>
  </sheets>
  <definedNames>
    <definedName name="ReasonCodes">Lists!$A$2:$A$8</definedName>
    <definedName name="Carriers">Lists!$C$2:$C$7</definedName>
    <definedName name="Clients">Lists!$E$2:$E$5</definedName>
    <definedName name="_xlnm._FilterDatabase" localSheetId="2" hidden="1">'Inventory'!$A$1:$K$41</definedName>
    <definedName name="_xlnm._FilterDatabase" localSheetId="3" hidden="1">'Receiving'!$A$1:$L$41</definedName>
    <definedName name="_xlnm._FilterDatabase" localSheetId="4" hidden="1">'Billing'!$A$1:$H$37</definedName>
    <definedName name="_xlnm._FilterDatabase" localSheetId="5" hidden="1">'Items'!$A$1:$E$41</definedName>
  </definedNames>
  <calcPr calcId="124519" fullCalcOnLoad="1"/>
</workbook>
</file>

<file path=xl/styles.xml><?xml version="1.0" encoding="utf-8"?>
<styleSheet xmlns="http://schemas.openxmlformats.org/spreadsheetml/2006/main">
  <numFmts count="7">
    <numFmt numFmtId="164" formatCode="$#,##0.00;($#,##0.00);&quot;-&quot;"/>
    <numFmt numFmtId="165" formatCode="yyyy-mm-dd"/>
    <numFmt numFmtId="166" formatCode="#,##0;-#,##0;0"/>
    <numFmt numFmtId="167" formatCode="+#,##0;-#,##0;0"/>
    <numFmt numFmtId="168" formatCode="d mmm yyyy"/>
    <numFmt numFmtId="169" formatCode="mmm yyyy"/>
    <numFmt numFmtId="170" formatCode="0.0%"/>
  </numFmts>
  <fonts count="19">
    <font>
      <name val="Calibri"/>
      <family val="2"/>
      <color theme="1"/>
      <sz val="11"/>
      <scheme val="minor"/>
    </font>
    <font>
      <name val="Arial"/>
      <b val="1"/>
      <color rgb="001F3A5F"/>
      <sz val="18"/>
    </font>
    <font>
      <name val="Arial"/>
      <color rgb="006B7785"/>
      <sz val="10"/>
    </font>
    <font>
      <name val="Arial"/>
      <b val="1"/>
      <color rgb="009C0006"/>
      <sz val="10"/>
    </font>
    <font>
      <name val="Arial"/>
      <b val="1"/>
      <color rgb="001F3A5F"/>
      <sz val="12"/>
    </font>
    <font>
      <name val="Arial"/>
      <color rgb="001F2933"/>
      <sz val="10"/>
    </font>
    <font>
      <name val="Arial"/>
      <color rgb="001F5FBF"/>
      <sz val="10"/>
      <u val="single"/>
    </font>
    <font>
      <name val="Arial"/>
      <color rgb="000000FF"/>
      <sz val="10"/>
    </font>
    <font>
      <name val="Arial"/>
      <color rgb="001E6B35"/>
      <sz val="10"/>
    </font>
    <font>
      <name val="Arial"/>
      <b val="1"/>
      <color rgb="006B7785"/>
      <sz val="10"/>
    </font>
    <font>
      <name val="Arial"/>
      <b val="1"/>
      <color rgb="00FFFFFF"/>
      <sz val="10"/>
    </font>
    <font>
      <name val="Arial"/>
      <b val="1"/>
      <color rgb="000000FF"/>
      <sz val="10"/>
    </font>
    <font>
      <name val="Arial"/>
      <i val="1"/>
      <color rgb="006B7785"/>
      <sz val="9"/>
    </font>
    <font>
      <name val="Arial"/>
      <b val="1"/>
      <color rgb="001F2933"/>
      <sz val="10"/>
    </font>
    <font>
      <name val="Arial"/>
      <b val="1"/>
      <color rgb="009C0006"/>
      <sz val="9"/>
    </font>
    <font>
      <name val="Arial"/>
      <b val="1"/>
      <color rgb="006B7785"/>
      <sz val="9"/>
    </font>
    <font>
      <name val="Arial"/>
      <b val="1"/>
      <color rgb="001F3A5F"/>
      <sz val="22"/>
    </font>
    <font>
      <name val="Arial"/>
      <b val="1"/>
      <color rgb="009C0006"/>
      <sz val="22"/>
    </font>
    <font>
      <name val="Arial"/>
      <b val="1"/>
      <color rgb="001F3A5F"/>
      <sz val="11"/>
    </font>
  </fonts>
  <fills count="8">
    <fill>
      <patternFill/>
    </fill>
    <fill>
      <patternFill patternType="gray125"/>
    </fill>
    <fill>
      <patternFill patternType="solid">
        <fgColor rgb="00FDF1F1"/>
        <bgColor rgb="00FDF1F1"/>
      </patternFill>
    </fill>
    <fill>
      <patternFill patternType="solid">
        <fgColor rgb="00F2F4F7"/>
        <bgColor rgb="00F2F4F7"/>
      </patternFill>
    </fill>
    <fill>
      <patternFill patternType="solid">
        <fgColor rgb="00FFC7CE"/>
        <bgColor rgb="00FFC7CE"/>
      </patternFill>
    </fill>
    <fill>
      <patternFill patternType="solid">
        <fgColor rgb="001F3A5F"/>
        <bgColor rgb="001F3A5F"/>
      </patternFill>
    </fill>
    <fill>
      <patternFill patternType="solid">
        <fgColor rgb="00FFF59D"/>
        <bgColor rgb="00FFF59D"/>
      </patternFill>
    </fill>
    <fill>
      <patternFill patternType="solid">
        <fgColor rgb="00FAFBFC"/>
        <bgColor rgb="00FAFBFC"/>
      </patternFill>
    </fill>
  </fills>
  <borders count="7">
    <border>
      <left/>
      <right/>
      <top/>
      <bottom/>
      <diagonal/>
    </border>
    <border>
      <bottom style="thin">
        <color rgb="00D9DEE5"/>
      </bottom>
    </border>
    <border>
      <left style="thin">
        <color rgb="00D9DEE5"/>
      </left>
      <right style="thin">
        <color rgb="00D9DEE5"/>
      </right>
      <top style="thin">
        <color rgb="00D9DEE5"/>
      </top>
      <bottom style="thin">
        <color rgb="00D9DEE5"/>
      </bottom>
    </border>
    <border>
      <top style="thin">
        <color rgb="001F2933"/>
      </top>
      <bottom style="double">
        <color rgb="001F2933"/>
      </bottom>
    </border>
    <border>
      <top style="medium">
        <color rgb="001F3A5F"/>
      </top>
    </border>
    <border>
      <top style="medium">
        <color rgb="009C0006"/>
      </top>
    </border>
    <border>
      <bottom style="thin">
        <color rgb="001F2933"/>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5" fillId="0" borderId="0" applyAlignment="1" pivotButton="0" quotePrefix="0" xfId="0">
      <alignment vertical="top" wrapText="1"/>
    </xf>
    <xf numFmtId="0" fontId="6" fillId="0" borderId="1" pivotButton="0" quotePrefix="0" xfId="0"/>
    <xf numFmtId="0" fontId="5" fillId="0" borderId="1" pivotButton="0" quotePrefix="0" xfId="0"/>
    <xf numFmtId="0" fontId="7" fillId="0" borderId="2" applyAlignment="1" pivotButton="0" quotePrefix="0" xfId="0">
      <alignment horizontal="center"/>
    </xf>
    <xf numFmtId="0" fontId="5" fillId="0" borderId="0" pivotButton="0" quotePrefix="0" xfId="0"/>
    <xf numFmtId="0" fontId="5" fillId="3" borderId="2" applyAlignment="1" pivotButton="0" quotePrefix="0" xfId="0">
      <alignment horizontal="center"/>
    </xf>
    <xf numFmtId="0" fontId="3" fillId="4" borderId="2" applyAlignment="1" pivotButton="0" quotePrefix="0" xfId="0">
      <alignment horizontal="center"/>
    </xf>
    <xf numFmtId="0" fontId="8" fillId="0" borderId="2" applyAlignment="1" pivotButton="0" quotePrefix="0" xfId="0">
      <alignment horizontal="center"/>
    </xf>
    <xf numFmtId="0" fontId="9" fillId="0" borderId="0" applyAlignment="1" pivotButton="0" quotePrefix="0" xfId="0">
      <alignment vertical="top"/>
    </xf>
    <xf numFmtId="0" fontId="14" fillId="0" borderId="0" applyAlignment="1" pivotButton="0" quotePrefix="0" xfId="0">
      <alignment horizontal="right"/>
    </xf>
    <xf numFmtId="0" fontId="0" fillId="7" borderId="4" pivotButton="0" quotePrefix="0" xfId="0"/>
    <xf numFmtId="0" fontId="0" fillId="7" borderId="5" pivotButton="0" quotePrefix="0" xfId="0"/>
    <xf numFmtId="0" fontId="15" fillId="7" borderId="0" pivotButton="0" quotePrefix="0" xfId="0"/>
    <xf numFmtId="0" fontId="0" fillId="7" borderId="0" pivotButton="0" quotePrefix="0" xfId="0"/>
    <xf numFmtId="166" fontId="16" fillId="7" borderId="0" applyAlignment="1" pivotButton="0" quotePrefix="0" xfId="0">
      <alignment horizontal="left" vertical="center"/>
    </xf>
    <xf numFmtId="166" fontId="17" fillId="7" borderId="0" applyAlignment="1" pivotButton="0" quotePrefix="0" xfId="0">
      <alignment horizontal="left" vertical="center"/>
    </xf>
    <xf numFmtId="170" fontId="16" fillId="7" borderId="0" applyAlignment="1" pivotButton="0" quotePrefix="0" xfId="0">
      <alignment horizontal="left" vertical="center"/>
    </xf>
    <xf numFmtId="164" fontId="17" fillId="7" borderId="0" applyAlignment="1" pivotButton="0" quotePrefix="0" xfId="0">
      <alignment horizontal="left" vertical="center"/>
    </xf>
    <xf numFmtId="0" fontId="18" fillId="0" borderId="0" pivotButton="0" quotePrefix="0" xfId="0"/>
    <xf numFmtId="0" fontId="15" fillId="0" borderId="6" pivotButton="0" quotePrefix="0" xfId="0"/>
    <xf numFmtId="0" fontId="15" fillId="0" borderId="6" applyAlignment="1" pivotButton="0" quotePrefix="0" xfId="0">
      <alignment horizontal="right"/>
    </xf>
    <xf numFmtId="166" fontId="5" fillId="0" borderId="1" pivotButton="0" quotePrefix="0" xfId="0"/>
    <xf numFmtId="164" fontId="5" fillId="0" borderId="1" pivotButton="0" quotePrefix="0" xfId="0"/>
    <xf numFmtId="0" fontId="13" fillId="0" borderId="0" pivotButton="0" quotePrefix="0" xfId="0"/>
    <xf numFmtId="164" fontId="13" fillId="0" borderId="0" pivotButton="0" quotePrefix="0" xfId="0"/>
    <xf numFmtId="0" fontId="10" fillId="5" borderId="0" applyAlignment="1" pivotButton="0" quotePrefix="0" xfId="0">
      <alignment vertical="center" wrapText="1"/>
    </xf>
    <xf numFmtId="0" fontId="7" fillId="0" borderId="1" applyAlignment="1" pivotButton="0" quotePrefix="0" xfId="0">
      <alignment vertical="center"/>
    </xf>
    <xf numFmtId="0" fontId="5" fillId="3" borderId="1" applyAlignment="1" pivotButton="0" quotePrefix="0" xfId="0">
      <alignment vertical="center"/>
    </xf>
    <xf numFmtId="166" fontId="7" fillId="0" borderId="1" applyAlignment="1" pivotButton="0" quotePrefix="0" xfId="0">
      <alignment vertical="center"/>
    </xf>
    <xf numFmtId="167" fontId="5" fillId="3" borderId="1" applyAlignment="1" pivotButton="0" quotePrefix="0" xfId="0">
      <alignment horizontal="center" vertical="center"/>
    </xf>
    <xf numFmtId="49" fontId="5" fillId="3" borderId="1" applyAlignment="1" pivotButton="0" quotePrefix="0" xfId="0">
      <alignment horizontal="center" vertical="center"/>
    </xf>
    <xf numFmtId="164" fontId="5" fillId="3" borderId="1" applyAlignment="1" pivotButton="0" quotePrefix="0" xfId="0">
      <alignment vertical="center"/>
    </xf>
    <xf numFmtId="168" fontId="7" fillId="0" borderId="1" applyAlignment="1" pivotButton="0" quotePrefix="0" xfId="0">
      <alignment vertical="center"/>
    </xf>
    <xf numFmtId="169" fontId="7" fillId="0" borderId="1" applyAlignment="1" pivotButton="0" quotePrefix="0" xfId="0">
      <alignment horizontal="left" vertical="center"/>
    </xf>
    <xf numFmtId="164" fontId="7" fillId="0" borderId="1" applyAlignment="1" pivotButton="0" quotePrefix="0" xfId="0">
      <alignment vertical="center"/>
    </xf>
    <xf numFmtId="164" fontId="13" fillId="0" borderId="3" pivotButton="0" quotePrefix="0" xfId="0"/>
    <xf numFmtId="0" fontId="7" fillId="0" borderId="0" pivotButton="0" quotePrefix="0" xfId="0"/>
    <xf numFmtId="164" fontId="7" fillId="0" borderId="0" pivotButton="0" quotePrefix="0" xfId="0"/>
    <xf numFmtId="164" fontId="11" fillId="6" borderId="0" pivotButton="0" quotePrefix="0" xfId="0"/>
    <xf numFmtId="0" fontId="12" fillId="0" borderId="0" pivotButton="0" quotePrefix="0" xfId="0"/>
  </cellXfs>
  <cellStyles count="1">
    <cellStyle name="Normal" xfId="0" builtinId="0" hidden="0"/>
  </cellStyles>
  <dxfs count="4">
    <dxf>
      <font>
        <name val="Arial"/>
        <b val="1"/>
        <color rgb="009C0006"/>
      </font>
      <fill>
        <patternFill patternType="solid">
          <fgColor rgb="00FFC7CE"/>
          <bgColor rgb="00FFC7CE"/>
        </patternFill>
      </fill>
    </dxf>
    <dxf>
      <font>
        <name val="Arial"/>
        <color rgb="001E6B35"/>
      </font>
    </dxf>
    <dxf>
      <fill>
        <patternFill patternType="solid">
          <fgColor rgb="00FDF1F1"/>
          <bgColor rgb="00FDF1F1"/>
        </patternFill>
      </fill>
    </dxf>
    <dxf>
      <font>
        <name val="Arial"/>
        <b val="1"/>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plotArea>
      <barChart>
        <barDir val="bar"/>
        <grouping val="clustered"/>
        <ser>
          <idx val="0"/>
          <order val="0"/>
          <spPr>
            <a:solidFill>
              <a:srgbClr val="C0392B"/>
            </a:solidFill>
            <a:ln>
              <a:solidFill>
                <a:srgbClr val="C0392B"/>
              </a:solidFill>
              <a:prstDash val="solid"/>
            </a:ln>
          </spPr>
          <cat>
            <numRef>
              <f>'Dashboard'!$B$23:$B$27</f>
            </numRef>
          </cat>
          <val>
            <numRef>
              <f>'Dashboard'!$C$23:$C$27</f>
            </numRef>
          </val>
        </ser>
        <dLbls>
          <numFmt formatCode="0"/>
          <txPr>
            <a:bodyPr/>
            <a:p>
              <a:pPr>
                <a:defRPr sz="900">
                  <a:solidFill>
                    <a:srgbClr val="1F2933"/>
                  </a:solidFill>
                  <a:latin typeface="Arial"/>
                </a:defRPr>
              </a:pPr>
              <a:r>
                <a:t/>
              </a:r>
              <a:endParaRPr/>
            </a:p>
          </txPr>
          <showLegendKey val="0"/>
          <showVal val="1"/>
          <showCatName val="0"/>
          <showSerName val="0"/>
          <showPercent val="0"/>
        </dLbls>
        <gapWidth val="60"/>
        <axId val="10"/>
        <axId val="100"/>
      </barChart>
      <catAx>
        <axId val="10"/>
        <scaling>
          <orientation val="maxMin"/>
        </scaling>
        <delete val="0"/>
        <axPos val="l"/>
        <majorTickMark val="none"/>
        <minorTickMark val="none"/>
        <tickLblPos val="low"/>
        <txPr>
          <a:bodyPr/>
          <a:p>
            <a:pPr>
              <a:defRPr sz="900">
                <a:solidFill>
                  <a:srgbClr val="1F2933"/>
                </a:solidFill>
                <a:latin typeface="Arial"/>
              </a:defRPr>
            </a:pPr>
            <a:r>
              <a:t/>
            </a:r>
            <a:endParaRPr/>
          </a:p>
        </txPr>
        <crossAx val="100"/>
        <lblOffset val="100"/>
      </catAx>
      <valAx>
        <axId val="100"/>
        <scaling>
          <orientation val="minMax"/>
        </scaling>
        <delete val="1"/>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plotArea>
      <barChart>
        <barDir val="bar"/>
        <grouping val="clustered"/>
        <ser>
          <idx val="0"/>
          <order val="0"/>
          <spPr>
            <a:solidFill>
              <a:srgbClr val="1F3A5F"/>
            </a:solidFill>
            <a:ln>
              <a:solidFill>
                <a:srgbClr val="1F3A5F"/>
              </a:solidFill>
              <a:prstDash val="solid"/>
            </a:ln>
          </spPr>
          <cat>
            <numRef>
              <f>'Dashboard'!$B$37:$B$42</f>
            </numRef>
          </cat>
          <val>
            <numRef>
              <f>'Dashboard'!$C$37:$C$42</f>
            </numRef>
          </val>
        </ser>
        <dLbls>
          <numFmt formatCode="0"/>
          <txPr>
            <a:bodyPr/>
            <a:p>
              <a:pPr>
                <a:defRPr sz="900">
                  <a:solidFill>
                    <a:srgbClr val="1F2933"/>
                  </a:solidFill>
                  <a:latin typeface="Arial"/>
                </a:defRPr>
              </a:pPr>
              <a:r>
                <a:t/>
              </a:r>
              <a:endParaRPr/>
            </a:p>
          </txPr>
          <showLegendKey val="0"/>
          <showVal val="1"/>
          <showCatName val="0"/>
          <showSerName val="0"/>
          <showPercent val="0"/>
        </dLbls>
        <gapWidth val="60"/>
        <axId val="10"/>
        <axId val="100"/>
      </barChart>
      <catAx>
        <axId val="10"/>
        <scaling>
          <orientation val="maxMin"/>
        </scaling>
        <delete val="0"/>
        <axPos val="l"/>
        <majorTickMark val="none"/>
        <minorTickMark val="none"/>
        <tickLblPos val="low"/>
        <txPr>
          <a:bodyPr/>
          <a:p>
            <a:pPr>
              <a:defRPr sz="900">
                <a:solidFill>
                  <a:srgbClr val="1F2933"/>
                </a:solidFill>
                <a:latin typeface="Arial"/>
              </a:defRPr>
            </a:pPr>
            <a:r>
              <a:t/>
            </a:r>
            <a:endParaRPr/>
          </a:p>
        </txPr>
        <crossAx val="100"/>
        <lblOffset val="100"/>
      </catAx>
      <valAx>
        <axId val="100"/>
        <scaling>
          <orientation val="minMax"/>
        </scaling>
        <delete val="1"/>
        <axPos val="l"/>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plotArea>
      <barChart>
        <barDir val="col"/>
        <grouping val="clustered"/>
        <ser>
          <idx val="0"/>
          <order val="0"/>
          <spPr>
            <a:solidFill>
              <a:srgbClr val="B9770E"/>
            </a:solidFill>
            <a:ln>
              <a:solidFill>
                <a:srgbClr val="B9770E"/>
              </a:solidFill>
              <a:prstDash val="solid"/>
            </a:ln>
          </spPr>
          <cat>
            <numRef>
              <f>'Dashboard'!$B$51:$B$54</f>
            </numRef>
          </cat>
          <val>
            <numRef>
              <f>'Dashboard'!$C$51:$C$54</f>
            </numRef>
          </val>
        </ser>
        <dLbls>
          <numFmt formatCode="$#,##0;($#,##0)"/>
          <txPr>
            <a:bodyPr/>
            <a:p>
              <a:pPr>
                <a:defRPr sz="900">
                  <a:solidFill>
                    <a:srgbClr val="1F2933"/>
                  </a:solidFill>
                  <a:latin typeface="Arial"/>
                </a:defRPr>
              </a:pPr>
              <a:r>
                <a:t/>
              </a:r>
              <a:endParaRPr/>
            </a:p>
          </txPr>
          <showLegendKey val="0"/>
          <showVal val="1"/>
          <showCatName val="0"/>
          <showSerName val="0"/>
          <showPercent val="0"/>
        </dLbls>
        <gapWidth val="60"/>
        <axId val="10"/>
        <axId val="100"/>
      </barChart>
      <catAx>
        <axId val="10"/>
        <scaling>
          <orientation val="minMax"/>
        </scaling>
        <delete val="0"/>
        <axPos val="l"/>
        <majorTickMark val="none"/>
        <minorTickMark val="none"/>
        <tickLblPos val="low"/>
        <txPr>
          <a:bodyPr/>
          <a:p>
            <a:pPr>
              <a:defRPr sz="900">
                <a:solidFill>
                  <a:srgbClr val="1F2933"/>
                </a:solidFill>
                <a:latin typeface="Arial"/>
              </a:defRPr>
            </a:pPr>
            <a:r>
              <a:t/>
            </a:r>
            <a:endParaRPr/>
          </a:p>
        </txPr>
        <crossAx val="100"/>
        <lblOffset val="100"/>
      </catAx>
      <valAx>
        <axId val="100"/>
        <scaling>
          <orientation val="minMax"/>
        </scaling>
        <delete val="1"/>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20</row>
      <rowOff>0</rowOff>
    </from>
    <ext cx="5400000" cy="2304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34</row>
      <rowOff>0</rowOff>
    </from>
    <ext cx="5400000" cy="2304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48</row>
      <rowOff>0</rowOff>
    </from>
    <ext cx="5400000" cy="2304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Inventory'!A1" TargetMode="External" Id="rId2" /><Relationship Type="http://schemas.openxmlformats.org/officeDocument/2006/relationships/hyperlink" Target="#'Receiving'!A1" TargetMode="External" Id="rId3" /><Relationship Type="http://schemas.openxmlformats.org/officeDocument/2006/relationships/hyperlink" Target="#'Billing'!A1" TargetMode="External" Id="rId4" /><Relationship Type="http://schemas.openxmlformats.org/officeDocument/2006/relationships/hyperlink" Target="#'Items'!A1" TargetMode="External" Id="rId5" /><Relationship Type="http://schemas.openxmlformats.org/officeDocument/2006/relationships/hyperlink" Target="#'Lists'!A1" TargetMode="External" Id="rId6"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6B7785"/>
    <outlinePr summaryBelow="1" summaryRight="1"/>
    <pageSetUpPr fitToPage="1"/>
  </sheetPr>
  <dimension ref="B2:C27"/>
  <sheetViews>
    <sheetView showGridLines="0" tabSelected="0" workbookViewId="0">
      <selection activeCell="A1" sqref="A1"/>
    </sheetView>
  </sheetViews>
  <sheetFormatPr baseColWidth="8" defaultRowHeight="15"/>
  <cols>
    <col width="3" customWidth="1" min="1" max="1"/>
    <col width="26" customWidth="1" min="2" max="2"/>
    <col width="92" customWidth="1" min="3" max="3"/>
  </cols>
  <sheetData>
    <row r="2">
      <c r="B2" s="1" t="inlineStr">
        <is>
          <t>Shipment and Inventory Discrepancy Checker</t>
        </is>
      </c>
    </row>
    <row r="3">
      <c r="B3" s="2" t="inlineStr">
        <is>
          <t>Lekan Lawal  |  October 2026</t>
        </is>
      </c>
    </row>
    <row r="5" ht="34" customHeight="1">
      <c r="B5" s="3" t="inlineStr">
        <is>
          <t>Sample data. Every company, SKU, quantity, rate and dollar amount in this file is made up. Carrier names are real Canadian carriers, used only to make the receiving log look realistic.</t>
        </is>
      </c>
    </row>
    <row r="7">
      <c r="B7" s="4" t="inlineStr">
        <is>
          <t>What it does</t>
        </is>
      </c>
    </row>
    <row r="8" ht="30" customHeight="1">
      <c r="B8" s="5" t="inlineStr">
        <is>
          <t>Checks three things a warehouse gets wrong most often, and totals them on one dashboard: cycle counts against the system, receipts against the packing slip and PO, and storage invoices against the rate card.</t>
        </is>
      </c>
    </row>
    <row r="10">
      <c r="B10" s="4" t="inlineStr">
        <is>
          <t>Sheets</t>
        </is>
      </c>
    </row>
    <row r="11">
      <c r="B11" s="6" t="inlineStr">
        <is>
          <t>Dashboard</t>
        </is>
      </c>
      <c r="C11" s="7" t="inlineStr">
        <is>
          <t>Totals, discrepancy counts by type and reason, billing variance by client.</t>
        </is>
      </c>
    </row>
    <row r="12">
      <c r="B12" s="6" t="inlineStr">
        <is>
          <t>Inventory</t>
        </is>
      </c>
      <c r="C12" s="7" t="inlineStr">
        <is>
          <t>Cycle count: system qty vs physical count. Variance, status, dollar impact, reason code.</t>
        </is>
      </c>
    </row>
    <row r="13">
      <c r="B13" s="6" t="inlineStr">
        <is>
          <t>Receiving</t>
        </is>
      </c>
      <c r="C13" s="7" t="inlineStr">
        <is>
          <t>Inbound receipts: PO qty vs packing slip vs qty received. Flags short, over and PO mismatches.</t>
        </is>
      </c>
    </row>
    <row r="14">
      <c r="B14" s="6" t="inlineStr">
        <is>
          <t>Billing</t>
        </is>
      </c>
      <c r="C14" s="7" t="inlineStr">
        <is>
          <t>Monthly storage invoices: pallets x rate vs amount invoiced. Flags variances over the tolerance.</t>
        </is>
      </c>
    </row>
    <row r="15">
      <c r="B15" s="6" t="inlineStr">
        <is>
          <t>Items</t>
        </is>
      </c>
      <c r="C15" s="7" t="inlineStr">
        <is>
          <t>Item master: SKU, description, client, bin location and unit cost. Lookups read from here.</t>
        </is>
      </c>
    </row>
    <row r="16">
      <c r="B16" s="6" t="inlineStr">
        <is>
          <t>Lists</t>
        </is>
      </c>
      <c r="C16" s="7" t="inlineStr">
        <is>
          <t>Dropdown lists, client storage rates and the billing tolerance.</t>
        </is>
      </c>
    </row>
    <row r="18">
      <c r="B18" s="4" t="inlineStr">
        <is>
          <t>Colour key</t>
        </is>
      </c>
    </row>
    <row r="19">
      <c r="B19" s="8" t="inlineStr">
        <is>
          <t>1,250</t>
        </is>
      </c>
      <c r="C19" s="9" t="inlineStr">
        <is>
          <t>Blue text: typed-in values. Change these.</t>
        </is>
      </c>
    </row>
    <row r="20">
      <c r="B20" s="10" t="inlineStr">
        <is>
          <t>1,250</t>
        </is>
      </c>
      <c r="C20" s="9" t="inlineStr">
        <is>
          <t>Grey cell: formula. Do not type over it.</t>
        </is>
      </c>
    </row>
    <row r="21">
      <c r="B21" s="11" t="inlineStr">
        <is>
          <t>Check</t>
        </is>
      </c>
      <c r="C21" s="9" t="inlineStr">
        <is>
          <t>Red: needs a look (variance, mismatch or billing difference).</t>
        </is>
      </c>
    </row>
    <row r="22">
      <c r="B22" s="12" t="inlineStr">
        <is>
          <t>OK</t>
        </is>
      </c>
      <c r="C22" s="9" t="inlineStr">
        <is>
          <t>Green text: matches.</t>
        </is>
      </c>
    </row>
    <row r="24">
      <c r="B24" s="4" t="inlineStr">
        <is>
          <t>How to use it</t>
        </is>
      </c>
    </row>
    <row r="25">
      <c r="B25" s="13" t="inlineStr">
        <is>
          <t>Step 1</t>
        </is>
      </c>
      <c r="C25" s="5" t="inlineStr">
        <is>
          <t>Enter physical counts in Inventory column D and give every Check row a reason code.</t>
        </is>
      </c>
    </row>
    <row r="26">
      <c r="B26" s="13" t="inlineStr">
        <is>
          <t>Step 2</t>
        </is>
      </c>
      <c r="C26" s="5" t="inlineStr">
        <is>
          <t>Log receipts in Receiving and storage invoices in Billing. Rates and the tolerance live on Lists.</t>
        </is>
      </c>
    </row>
    <row r="27">
      <c r="B27" s="13" t="inlineStr">
        <is>
          <t>Step 3</t>
        </is>
      </c>
      <c r="C27" s="5" t="inlineStr">
        <is>
          <t>To add rows, copy the last row down so the grey formula cells come with it.</t>
        </is>
      </c>
    </row>
  </sheetData>
  <mergeCells count="2">
    <mergeCell ref="B8:C8"/>
    <mergeCell ref="B5:C5"/>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A5F"/>
    <outlinePr summaryBelow="1" summaryRight="1"/>
    <pageSetUpPr fitToPage="1"/>
  </sheetPr>
  <dimension ref="B2:I55"/>
  <sheetViews>
    <sheetView showGridLines="0" tabSelected="1" zoomScale="100" workbookViewId="0">
      <selection activeCell="A1" sqref="A1"/>
    </sheetView>
  </sheetViews>
  <sheetFormatPr baseColWidth="8" defaultRowHeight="15"/>
  <cols>
    <col width="2" customWidth="1" min="1" max="1"/>
    <col width="24" customWidth="1" min="2" max="2"/>
    <col width="14" customWidth="1" min="3" max="3"/>
    <col width="3" customWidth="1" min="4" max="4"/>
    <col width="24" customWidth="1" min="5" max="5"/>
    <col width="14" customWidth="1" min="6" max="6"/>
    <col width="3" customWidth="1" min="7" max="7"/>
    <col width="24" customWidth="1" min="8" max="8"/>
    <col width="14" customWidth="1" min="9" max="9"/>
    <col width="2" customWidth="1" min="10" max="10"/>
  </cols>
  <sheetData>
    <row r="2">
      <c r="B2" s="1" t="inlineStr">
        <is>
          <t>Discrepancy Dashboard</t>
        </is>
      </c>
      <c r="H2" s="14" t="inlineStr">
        <is>
          <t>Sample data</t>
        </is>
      </c>
    </row>
    <row r="3">
      <c r="B3" s="2" t="str">
        <f>"Cycle count to "&amp;TEXT(MAX(Inventory!K2:K500),"d mmm yyyy")&amp;"   |   Receipts to "&amp;TEXT(MAX(Receiving!A2:A500),"d mmm yyyy")&amp;"   |   Invoices to "&amp;TEXT(MAX(Billing!A2:A500),"mmm yyyy")</f>
        <v>Cycle count to 30 Sep 2026   |   Receipts to 28 Sep 2026   |   Invoices to Sep 2026</v>
      </c>
    </row>
    <row r="4" ht="8" customHeight="1">
      <c r="B4" s="15" t="n"/>
      <c r="C4" s="15" t="n"/>
      <c r="E4" s="16" t="n"/>
      <c r="F4" s="16" t="n"/>
      <c r="H4" s="15" t="n"/>
      <c r="I4" s="15" t="n"/>
    </row>
    <row r="5">
      <c r="B5" s="17" t="inlineStr">
        <is>
          <t>Items counted</t>
        </is>
      </c>
      <c r="C5" s="18" t="n"/>
      <c r="E5" s="17" t="inlineStr">
        <is>
          <t>Count discrepancies</t>
        </is>
      </c>
      <c r="F5" s="18" t="n"/>
      <c r="H5" s="17" t="inlineStr">
        <is>
          <t>Inventory accuracy</t>
        </is>
      </c>
      <c r="I5" s="18" t="n"/>
    </row>
    <row r="6">
      <c r="B6" s="18" t="n"/>
      <c r="C6" s="18" t="n"/>
      <c r="E6" s="18" t="n"/>
      <c r="F6" s="18" t="n"/>
      <c r="H6" s="18" t="n"/>
      <c r="I6" s="18" t="n"/>
    </row>
    <row r="7" ht="30" customHeight="1">
      <c r="B7" s="19">
        <f>COUNTA(Inventory!$A$2:$A$500)</f>
        <v>40</v>
      </c>
      <c r="C7" s="18" t="n"/>
      <c r="E7" s="20">
        <f>COUNTIF(Inventory!$F$2:$F$500,"Check")</f>
        <v>9</v>
      </c>
      <c r="F7" s="18" t="n"/>
      <c r="H7" s="21">
        <f>IF(B7=0,0,1-E7/B7)</f>
        <v>0.775</v>
      </c>
      <c r="I7" s="18" t="n"/>
    </row>
    <row r="8">
      <c r="B8" s="18" t="n"/>
      <c r="C8" s="18" t="n"/>
      <c r="E8" s="18" t="n"/>
      <c r="F8" s="18" t="n"/>
      <c r="H8" s="18" t="n"/>
      <c r="I8" s="18" t="n"/>
    </row>
    <row r="9" ht="8" customHeight="1">
      <c r="B9" s="15" t="n"/>
      <c r="C9" s="15" t="n"/>
      <c r="E9" s="16" t="n"/>
      <c r="F9" s="16" t="n"/>
      <c r="H9" s="16" t="n"/>
      <c r="I9" s="16" t="n"/>
    </row>
    <row r="10">
      <c r="B10" s="17" t="inlineStr">
        <is>
          <t>Receipts logged</t>
        </is>
      </c>
      <c r="C10" s="18" t="n"/>
      <c r="E10" s="17" t="inlineStr">
        <is>
          <t>Receiving exceptions</t>
        </is>
      </c>
      <c r="F10" s="18" t="n"/>
      <c r="H10" s="17" t="inlineStr">
        <is>
          <t>Net count variance ($)</t>
        </is>
      </c>
      <c r="I10" s="18" t="n"/>
    </row>
    <row r="11">
      <c r="B11" s="18" t="n"/>
      <c r="C11" s="18" t="n"/>
      <c r="E11" s="18" t="n"/>
      <c r="F11" s="18" t="n"/>
      <c r="H11" s="18" t="n"/>
      <c r="I11" s="18" t="n"/>
    </row>
    <row r="12" ht="30" customHeight="1">
      <c r="B12" s="19">
        <f>COUNTA(Receiving!$B$2:$B$500)</f>
        <v>40</v>
      </c>
      <c r="C12" s="18" t="n"/>
      <c r="E12" s="20">
        <f>COUNTA(Receiving!$B$2:$B$500)-COUNTIF(Receiving!$K$2:$K$500,"OK")</f>
        <v>8</v>
      </c>
      <c r="F12" s="18" t="n"/>
      <c r="H12" s="22">
        <f>SUM(Inventory!$I$2:$I$500)</f>
        <v>-502.7</v>
      </c>
      <c r="I12" s="18" t="n"/>
    </row>
    <row r="13">
      <c r="B13" s="18" t="n"/>
      <c r="C13" s="18" t="n"/>
      <c r="E13" s="18" t="n"/>
      <c r="F13" s="18" t="n"/>
      <c r="H13" s="18" t="n"/>
      <c r="I13" s="18" t="n"/>
    </row>
    <row r="14" ht="8" customHeight="1">
      <c r="B14" s="15" t="n"/>
      <c r="C14" s="15" t="n"/>
      <c r="E14" s="16" t="n"/>
      <c r="F14" s="16" t="n"/>
      <c r="H14" s="16" t="n"/>
      <c r="I14" s="16" t="n"/>
    </row>
    <row r="15">
      <c r="B15" s="17" t="inlineStr">
        <is>
          <t>Invoices checked</t>
        </is>
      </c>
      <c r="C15" s="18" t="n"/>
      <c r="E15" s="17" t="inlineStr">
        <is>
          <t>Invoices flagged</t>
        </is>
      </c>
      <c r="F15" s="18" t="n"/>
      <c r="H15" s="17" t="inlineStr">
        <is>
          <t>Net billing variance ($)</t>
        </is>
      </c>
      <c r="I15" s="18" t="n"/>
    </row>
    <row r="16">
      <c r="B16" s="18" t="n"/>
      <c r="C16" s="18" t="n"/>
      <c r="E16" s="18" t="n"/>
      <c r="F16" s="18" t="n"/>
      <c r="H16" s="18" t="n"/>
      <c r="I16" s="18" t="n"/>
    </row>
    <row r="17" ht="30" customHeight="1">
      <c r="B17" s="19">
        <f>COUNTA(Billing!$B$2:$B$500)</f>
        <v>36</v>
      </c>
      <c r="C17" s="18" t="n"/>
      <c r="E17" s="20">
        <f>COUNTIF(Billing!$H$2:$H$500,"Check")</f>
        <v>4</v>
      </c>
      <c r="F17" s="18" t="n"/>
      <c r="H17" s="22">
        <f>SUMIF(Billing!$H$2:$H$500,"Check",Billing!$G$2:$G$500)</f>
        <v>514</v>
      </c>
      <c r="I17" s="18" t="n"/>
    </row>
    <row r="18">
      <c r="B18" s="18" t="n"/>
      <c r="C18" s="18" t="n"/>
      <c r="E18" s="18" t="n"/>
      <c r="F18" s="18" t="n"/>
      <c r="H18" s="18" t="n"/>
      <c r="I18" s="18" t="n"/>
    </row>
    <row r="21">
      <c r="B21" s="23" t="inlineStr">
        <is>
          <t>Discrepancies by type</t>
        </is>
      </c>
    </row>
    <row r="22">
      <c r="B22" s="24" t="inlineStr">
        <is>
          <t>Type</t>
        </is>
      </c>
      <c r="C22" s="25" t="inlineStr">
        <is>
          <t>Count</t>
        </is>
      </c>
    </row>
    <row r="23">
      <c r="B23" s="7" t="inlineStr">
        <is>
          <t>Count variance</t>
        </is>
      </c>
      <c r="C23" s="26">
        <f>COUNTIF(Inventory!$F$2:$F$500,"Check")</f>
        <v>9</v>
      </c>
    </row>
    <row r="24">
      <c r="B24" s="7" t="inlineStr">
        <is>
          <t>Received short</t>
        </is>
      </c>
      <c r="C24" s="26">
        <f>COUNTIF(Receiving!$K$2:$K$500,"Short")</f>
        <v>4</v>
      </c>
    </row>
    <row r="25">
      <c r="B25" s="7" t="inlineStr">
        <is>
          <t>Received over</t>
        </is>
      </c>
      <c r="C25" s="26">
        <f>COUNTIF(Receiving!$K$2:$K$500,"Over")</f>
        <v>2</v>
      </c>
    </row>
    <row r="26">
      <c r="B26" s="7" t="inlineStr">
        <is>
          <t>PO mismatch</t>
        </is>
      </c>
      <c r="C26" s="26">
        <f>COUNTIF(Receiving!$K$2:$K$500,"PO mismatch")</f>
        <v>2</v>
      </c>
    </row>
    <row r="27">
      <c r="B27" s="7" t="inlineStr">
        <is>
          <t>Billing variance</t>
        </is>
      </c>
      <c r="C27" s="26">
        <f>COUNTIF(Billing!$H$2:$H$500,"Check")</f>
        <v>4</v>
      </c>
    </row>
    <row r="35">
      <c r="B35" s="23" t="inlineStr">
        <is>
          <t>Count discrepancies by reason</t>
        </is>
      </c>
    </row>
    <row r="36">
      <c r="B36" s="24" t="inlineStr">
        <is>
          <t>Reason</t>
        </is>
      </c>
      <c r="C36" s="25" t="inlineStr">
        <is>
          <t>Count</t>
        </is>
      </c>
    </row>
    <row r="37">
      <c r="B37" s="7" t="inlineStr">
        <is>
          <t>Count error</t>
        </is>
      </c>
      <c r="C37" s="26">
        <f>COUNTIF(Inventory!$J$2:$J$500,B37)</f>
        <v>1</v>
      </c>
    </row>
    <row r="38">
      <c r="B38" s="7" t="inlineStr">
        <is>
          <t>Mis-pick</t>
        </is>
      </c>
      <c r="C38" s="26">
        <f>COUNTIF(Inventory!$J$2:$J$500,B38)</f>
        <v>2</v>
      </c>
    </row>
    <row r="39">
      <c r="B39" s="7" t="inlineStr">
        <is>
          <t>Receiving error</t>
        </is>
      </c>
      <c r="C39" s="26">
        <f>COUNTIF(Inventory!$J$2:$J$500,B39)</f>
        <v>2</v>
      </c>
    </row>
    <row r="40">
      <c r="B40" s="7" t="inlineStr">
        <is>
          <t>Damaged, not recorded</t>
        </is>
      </c>
      <c r="C40" s="26">
        <f>COUNTIF(Inventory!$J$2:$J$500,B40)</f>
        <v>2</v>
      </c>
    </row>
    <row r="41">
      <c r="B41" s="7" t="inlineStr">
        <is>
          <t>Unrecorded transfer</t>
        </is>
      </c>
      <c r="C41" s="26">
        <f>COUNTIF(Inventory!$J$2:$J$500,B41)</f>
        <v>1</v>
      </c>
    </row>
    <row r="42">
      <c r="B42" s="7" t="inlineStr">
        <is>
          <t>Theft or loss</t>
        </is>
      </c>
      <c r="C42" s="26">
        <f>COUNTIF(Inventory!$J$2:$J$500,B42)</f>
        <v>1</v>
      </c>
    </row>
    <row r="49">
      <c r="B49" s="23" t="inlineStr">
        <is>
          <t>Billing variance by client</t>
        </is>
      </c>
    </row>
    <row r="50">
      <c r="B50" s="24" t="inlineStr">
        <is>
          <t>Client</t>
        </is>
      </c>
      <c r="C50" s="25" t="inlineStr">
        <is>
          <t>Variance ($)</t>
        </is>
      </c>
    </row>
    <row r="51">
      <c r="B51" s="7" t="inlineStr">
        <is>
          <t>Kingsway Apparel</t>
        </is>
      </c>
      <c r="C51" s="27">
        <f>SUMIF(Billing!$B$2:$B$500,B51,Billing!$G$2:$G$500)</f>
        <v>450</v>
      </c>
    </row>
    <row r="52">
      <c r="B52" s="7" t="inlineStr">
        <is>
          <t>Lakeshore Home Goods</t>
        </is>
      </c>
      <c r="C52" s="27">
        <f>SUMIF(Billing!$B$2:$B$500,B52,Billing!$G$2:$G$500)</f>
        <v>-140</v>
      </c>
    </row>
    <row r="53">
      <c r="B53" s="7" t="inlineStr">
        <is>
          <t>Northline Pet Supply</t>
        </is>
      </c>
      <c r="C53" s="27">
        <f>SUMIF(Billing!$B$2:$B$500,B53,Billing!$G$2:$G$500)</f>
        <v>321.4</v>
      </c>
    </row>
    <row r="54">
      <c r="B54" s="7" t="inlineStr">
        <is>
          <t>Mimico Coffee Co.</t>
        </is>
      </c>
      <c r="C54" s="27">
        <f>SUMIF(Billing!$B$2:$B$500,B54,Billing!$G$2:$G$500)</f>
        <v>-117</v>
      </c>
    </row>
    <row r="55">
      <c r="B55" s="28" t="inlineStr">
        <is>
          <t>Total</t>
        </is>
      </c>
      <c r="C55" s="29">
        <f>SUM(C51:C54)</f>
        <v>514.4</v>
      </c>
    </row>
  </sheetData>
  <mergeCells count="19">
    <mergeCell ref="E12:F12"/>
    <mergeCell ref="B7:C7"/>
    <mergeCell ref="H10:I10"/>
    <mergeCell ref="E5:F5"/>
    <mergeCell ref="E17:F17"/>
    <mergeCell ref="B12:C12"/>
    <mergeCell ref="E10:F10"/>
    <mergeCell ref="B17:C17"/>
    <mergeCell ref="H17:I17"/>
    <mergeCell ref="H2:I2"/>
    <mergeCell ref="E15:F15"/>
    <mergeCell ref="H7:I7"/>
    <mergeCell ref="B10:C10"/>
    <mergeCell ref="H12:I12"/>
    <mergeCell ref="B15:C15"/>
    <mergeCell ref="E7:F7"/>
    <mergeCell ref="B5:C5"/>
    <mergeCell ref="H15:I15"/>
    <mergeCell ref="H5:I5"/>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E86C1"/>
    <outlinePr summaryBelow="1" summaryRight="1"/>
    <pageSetUpPr fitToPage="1"/>
  </sheetPr>
  <dimension ref="A1:K41"/>
  <sheetViews>
    <sheetView tabSelected="0" zoomScale="10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11" customWidth="1" min="3" max="3"/>
    <col width="11" customWidth="1" min="4" max="4"/>
    <col width="10" customWidth="1" min="5" max="5"/>
    <col width="10" customWidth="1" min="6" max="6"/>
    <col width="12" customWidth="1" min="7" max="7"/>
    <col width="12" customWidth="1" min="8" max="8"/>
    <col width="13" customWidth="1" min="9" max="9"/>
    <col width="22" customWidth="1" min="10" max="10"/>
    <col width="13" customWidth="1" min="11" max="11"/>
  </cols>
  <sheetData>
    <row r="1" ht="30" customHeight="1">
      <c r="A1" s="30" t="inlineStr">
        <is>
          <t>SKU</t>
        </is>
      </c>
      <c r="B1" s="30" t="inlineStr">
        <is>
          <t>Description</t>
        </is>
      </c>
      <c r="C1" s="30" t="inlineStr">
        <is>
          <t>System qty</t>
        </is>
      </c>
      <c r="D1" s="30" t="inlineStr">
        <is>
          <t>Physical count</t>
        </is>
      </c>
      <c r="E1" s="30" t="inlineStr">
        <is>
          <t>Variance</t>
        </is>
      </c>
      <c r="F1" s="30" t="inlineStr">
        <is>
          <t>Status</t>
        </is>
      </c>
      <c r="G1" s="30" t="inlineStr">
        <is>
          <t>Bin location</t>
        </is>
      </c>
      <c r="H1" s="30" t="inlineStr">
        <is>
          <t>Unit cost ($)</t>
        </is>
      </c>
      <c r="I1" s="30" t="inlineStr">
        <is>
          <t>Variance ($)</t>
        </is>
      </c>
      <c r="J1" s="30" t="inlineStr">
        <is>
          <t>Reason</t>
        </is>
      </c>
      <c r="K1" s="30" t="inlineStr">
        <is>
          <t>Count date</t>
        </is>
      </c>
    </row>
    <row r="2" ht="18" customHeight="1">
      <c r="A2" s="31" t="inlineStr">
        <is>
          <t>KWA-10120</t>
        </is>
      </c>
      <c r="B2" s="32" t="str">
        <f>IFERROR(INDEX(Items!$B$2:$B$200,MATCH($A2,Items!$A$2:$A$200,0)),"SKU not found")</f>
        <v>Crew neck tee, navy, M (case of 24)</v>
      </c>
      <c r="C2" s="33" t="n">
        <v>14</v>
      </c>
      <c r="D2" s="33" t="n">
        <v>14</v>
      </c>
      <c r="E2" s="34">
        <f>D2-C2</f>
        <v>0</v>
      </c>
      <c r="F2" s="35" t="str">
        <f>IF(E2=0,"OK","Check")</f>
        <v>OK</v>
      </c>
      <c r="G2" s="32" t="str">
        <f>IFERROR(INDEX(Items!$D$2:$D$200,MATCH($A2,Items!$A$2:$A$200,0)),"SKU not found")</f>
        <v>A-01-01</v>
      </c>
      <c r="H2" s="36">
        <f>IFERROR(INDEX(Items!$E$2:$E$200,MATCH($A2,Items!$A$2:$A$200,0)),0)</f>
        <v>96</v>
      </c>
      <c r="I2" s="36">
        <f>E2*H2</f>
        <v>0</v>
      </c>
      <c r="J2" s="31" t="n"/>
      <c r="K2" s="37" t="n">
        <v>46293</v>
      </c>
    </row>
    <row r="3" ht="18" customHeight="1">
      <c r="A3" s="31" t="inlineStr">
        <is>
          <t>KWA-10137</t>
        </is>
      </c>
      <c r="B3" s="32" t="str">
        <f>IFERROR(INDEX(Items!$B$2:$B$200,MATCH($A3,Items!$A$2:$A$200,0)),"SKU not found")</f>
        <v>Crew neck tee, white, L (case of 24)</v>
      </c>
      <c r="C3" s="33" t="n">
        <v>46</v>
      </c>
      <c r="D3" s="33" t="n">
        <v>46</v>
      </c>
      <c r="E3" s="34">
        <f>D3-C3</f>
        <v>0</v>
      </c>
      <c r="F3" s="35" t="str">
        <f>IF(E3=0,"OK","Check")</f>
        <v>OK</v>
      </c>
      <c r="G3" s="32" t="str">
        <f>IFERROR(INDEX(Items!$D$2:$D$200,MATCH($A3,Items!$A$2:$A$200,0)),"SKU not found")</f>
        <v>A-01-02</v>
      </c>
      <c r="H3" s="36">
        <f>IFERROR(INDEX(Items!$E$2:$E$200,MATCH($A3,Items!$A$2:$A$200,0)),0)</f>
        <v>96</v>
      </c>
      <c r="I3" s="36">
        <f>E3*H3</f>
        <v>0</v>
      </c>
      <c r="J3" s="31" t="n"/>
      <c r="K3" s="37" t="n">
        <v>46293</v>
      </c>
    </row>
    <row r="4" ht="18" customHeight="1">
      <c r="A4" s="31" t="inlineStr">
        <is>
          <t>KWA-10154</t>
        </is>
      </c>
      <c r="B4" s="32" t="str">
        <f>IFERROR(INDEX(Items!$B$2:$B$200,MATCH($A4,Items!$A$2:$A$200,0)),"SKU not found")</f>
        <v>Fleece hoodie, charcoal, M (case of 12)</v>
      </c>
      <c r="C4" s="33" t="n">
        <v>52</v>
      </c>
      <c r="D4" s="33" t="n">
        <v>50</v>
      </c>
      <c r="E4" s="34">
        <f>D4-C4</f>
        <v>-2</v>
      </c>
      <c r="F4" s="35" t="str">
        <f>IF(E4=0,"OK","Check")</f>
        <v>Check</v>
      </c>
      <c r="G4" s="32" t="str">
        <f>IFERROR(INDEX(Items!$D$2:$D$200,MATCH($A4,Items!$A$2:$A$200,0)),"SKU not found")</f>
        <v>A-01-03</v>
      </c>
      <c r="H4" s="36">
        <f>IFERROR(INDEX(Items!$E$2:$E$200,MATCH($A4,Items!$A$2:$A$200,0)),0)</f>
        <v>174</v>
      </c>
      <c r="I4" s="36">
        <f>E4*H4</f>
        <v>-348</v>
      </c>
      <c r="J4" s="31" t="inlineStr">
        <is>
          <t>Mis-pick</t>
        </is>
      </c>
      <c r="K4" s="37" t="n">
        <v>46293</v>
      </c>
    </row>
    <row r="5" ht="18" customHeight="1">
      <c r="A5" s="31" t="inlineStr">
        <is>
          <t>KWA-10171</t>
        </is>
      </c>
      <c r="B5" s="32" t="str">
        <f>IFERROR(INDEX(Items!$B$2:$B$200,MATCH($A5,Items!$A$2:$A$200,0)),"SKU not found")</f>
        <v>Fleece hoodie, charcoal, L (case of 12)</v>
      </c>
      <c r="C5" s="33" t="n">
        <v>56</v>
      </c>
      <c r="D5" s="33" t="n">
        <v>56</v>
      </c>
      <c r="E5" s="34">
        <f>D5-C5</f>
        <v>0</v>
      </c>
      <c r="F5" s="35" t="str">
        <f>IF(E5=0,"OK","Check")</f>
        <v>OK</v>
      </c>
      <c r="G5" s="32" t="str">
        <f>IFERROR(INDEX(Items!$D$2:$D$200,MATCH($A5,Items!$A$2:$A$200,0)),"SKU not found")</f>
        <v>A-02-01</v>
      </c>
      <c r="H5" s="36">
        <f>IFERROR(INDEX(Items!$E$2:$E$200,MATCH($A5,Items!$A$2:$A$200,0)),0)</f>
        <v>174</v>
      </c>
      <c r="I5" s="36">
        <f>E5*H5</f>
        <v>0</v>
      </c>
      <c r="J5" s="31" t="n"/>
      <c r="K5" s="37" t="n">
        <v>46293</v>
      </c>
    </row>
    <row r="6" ht="18" customHeight="1">
      <c r="A6" s="31" t="inlineStr">
        <is>
          <t>KWA-10188</t>
        </is>
      </c>
      <c r="B6" s="32" t="str">
        <f>IFERROR(INDEX(Items!$B$2:$B$200,MATCH($A6,Items!$A$2:$A$200,0)),"SKU not found")</f>
        <v>Rain shell jacket, black, M (case of 6)</v>
      </c>
      <c r="C6" s="33" t="n">
        <v>48</v>
      </c>
      <c r="D6" s="33" t="n">
        <v>48</v>
      </c>
      <c r="E6" s="34">
        <f>D6-C6</f>
        <v>0</v>
      </c>
      <c r="F6" s="35" t="str">
        <f>IF(E6=0,"OK","Check")</f>
        <v>OK</v>
      </c>
      <c r="G6" s="32" t="str">
        <f>IFERROR(INDEX(Items!$D$2:$D$200,MATCH($A6,Items!$A$2:$A$200,0)),"SKU not found")</f>
        <v>A-02-02</v>
      </c>
      <c r="H6" s="36">
        <f>IFERROR(INDEX(Items!$E$2:$E$200,MATCH($A6,Items!$A$2:$A$200,0)),0)</f>
        <v>207</v>
      </c>
      <c r="I6" s="36">
        <f>E6*H6</f>
        <v>0</v>
      </c>
      <c r="J6" s="31" t="n"/>
      <c r="K6" s="37" t="n">
        <v>46293</v>
      </c>
    </row>
    <row r="7" ht="18" customHeight="1">
      <c r="A7" s="31" t="inlineStr">
        <is>
          <t>KWA-10205</t>
        </is>
      </c>
      <c r="B7" s="32" t="str">
        <f>IFERROR(INDEX(Items!$B$2:$B$200,MATCH($A7,Items!$A$2:$A$200,0)),"SKU not found")</f>
        <v>Wool beanie, assorted (case of 36)</v>
      </c>
      <c r="C7" s="33" t="n">
        <v>40</v>
      </c>
      <c r="D7" s="33" t="n">
        <v>40</v>
      </c>
      <c r="E7" s="34">
        <f>D7-C7</f>
        <v>0</v>
      </c>
      <c r="F7" s="35" t="str">
        <f>IF(E7=0,"OK","Check")</f>
        <v>OK</v>
      </c>
      <c r="G7" s="32" t="str">
        <f>IFERROR(INDEX(Items!$D$2:$D$200,MATCH($A7,Items!$A$2:$A$200,0)),"SKU not found")</f>
        <v>A-02-03</v>
      </c>
      <c r="H7" s="36">
        <f>IFERROR(INDEX(Items!$E$2:$E$200,MATCH($A7,Items!$A$2:$A$200,0)),0)</f>
        <v>118.8</v>
      </c>
      <c r="I7" s="36">
        <f>E7*H7</f>
        <v>0</v>
      </c>
      <c r="J7" s="31" t="n"/>
      <c r="K7" s="37" t="n">
        <v>46293</v>
      </c>
    </row>
    <row r="8" ht="18" customHeight="1">
      <c r="A8" s="31" t="inlineStr">
        <is>
          <t>KWA-10222</t>
        </is>
      </c>
      <c r="B8" s="32" t="str">
        <f>IFERROR(INDEX(Items!$B$2:$B$200,MATCH($A8,Items!$A$2:$A$200,0)),"SKU not found")</f>
        <v>Cargo pant, olive, 32x32 (case of 12)</v>
      </c>
      <c r="C8" s="33" t="n">
        <v>22</v>
      </c>
      <c r="D8" s="33" t="n">
        <v>22</v>
      </c>
      <c r="E8" s="34">
        <f>D8-C8</f>
        <v>0</v>
      </c>
      <c r="F8" s="35" t="str">
        <f>IF(E8=0,"OK","Check")</f>
        <v>OK</v>
      </c>
      <c r="G8" s="32" t="str">
        <f>IFERROR(INDEX(Items!$D$2:$D$200,MATCH($A8,Items!$A$2:$A$200,0)),"SKU not found")</f>
        <v>A-03-01</v>
      </c>
      <c r="H8" s="36">
        <f>IFERROR(INDEX(Items!$E$2:$E$200,MATCH($A8,Items!$A$2:$A$200,0)),0)</f>
        <v>210</v>
      </c>
      <c r="I8" s="36">
        <f>E8*H8</f>
        <v>0</v>
      </c>
      <c r="J8" s="31" t="n"/>
      <c r="K8" s="37" t="n">
        <v>46293</v>
      </c>
    </row>
    <row r="9" ht="18" customHeight="1">
      <c r="A9" s="31" t="inlineStr">
        <is>
          <t>KWA-10239</t>
        </is>
      </c>
      <c r="B9" s="32" t="str">
        <f>IFERROR(INDEX(Items!$B$2:$B$200,MATCH($A9,Items!$A$2:$A$200,0)),"SKU not found")</f>
        <v>Athletic sock, 6 pk (case of 24)</v>
      </c>
      <c r="C9" s="33" t="n">
        <v>24</v>
      </c>
      <c r="D9" s="33" t="n">
        <v>25</v>
      </c>
      <c r="E9" s="34">
        <f>D9-C9</f>
        <v>1</v>
      </c>
      <c r="F9" s="35" t="str">
        <f>IF(E9=0,"OK","Check")</f>
        <v>Check</v>
      </c>
      <c r="G9" s="32" t="str">
        <f>IFERROR(INDEX(Items!$D$2:$D$200,MATCH($A9,Items!$A$2:$A$200,0)),"SKU not found")</f>
        <v>A-03-02</v>
      </c>
      <c r="H9" s="36">
        <f>IFERROR(INDEX(Items!$E$2:$E$200,MATCH($A9,Items!$A$2:$A$200,0)),0)</f>
        <v>132</v>
      </c>
      <c r="I9" s="36">
        <f>E9*H9</f>
        <v>132</v>
      </c>
      <c r="J9" s="31" t="inlineStr">
        <is>
          <t>Receiving error</t>
        </is>
      </c>
      <c r="K9" s="37" t="n">
        <v>46293</v>
      </c>
    </row>
    <row r="10" ht="18" customHeight="1">
      <c r="A10" s="31" t="inlineStr">
        <is>
          <t>KWA-10256</t>
        </is>
      </c>
      <c r="B10" s="32" t="str">
        <f>IFERROR(INDEX(Items!$B$2:$B$200,MATCH($A10,Items!$A$2:$A$200,0)),"SKU not found")</f>
        <v>Work glove, lined, L (case of 12)</v>
      </c>
      <c r="C10" s="33" t="n">
        <v>54</v>
      </c>
      <c r="D10" s="33" t="n">
        <v>54</v>
      </c>
      <c r="E10" s="34">
        <f>D10-C10</f>
        <v>0</v>
      </c>
      <c r="F10" s="35" t="str">
        <f>IF(E10=0,"OK","Check")</f>
        <v>OK</v>
      </c>
      <c r="G10" s="32" t="str">
        <f>IFERROR(INDEX(Items!$D$2:$D$200,MATCH($A10,Items!$A$2:$A$200,0)),"SKU not found")</f>
        <v>A-03-03</v>
      </c>
      <c r="H10" s="36">
        <f>IFERROR(INDEX(Items!$E$2:$E$200,MATCH($A10,Items!$A$2:$A$200,0)),0)</f>
        <v>89.4</v>
      </c>
      <c r="I10" s="36">
        <f>E10*H10</f>
        <v>0</v>
      </c>
      <c r="J10" s="31" t="n"/>
      <c r="K10" s="37" t="n">
        <v>46293</v>
      </c>
    </row>
    <row r="11" ht="18" customHeight="1">
      <c r="A11" s="31" t="inlineStr">
        <is>
          <t>KWA-10273</t>
        </is>
      </c>
      <c r="B11" s="32" t="str">
        <f>IFERROR(INDEX(Items!$B$2:$B$200,MATCH($A11,Items!$A$2:$A$200,0)),"SKU not found")</f>
        <v>Zip fleece vest, navy, M (case of 12)</v>
      </c>
      <c r="C11" s="33" t="n">
        <v>24</v>
      </c>
      <c r="D11" s="33" t="n">
        <v>24</v>
      </c>
      <c r="E11" s="34">
        <f>D11-C11</f>
        <v>0</v>
      </c>
      <c r="F11" s="35" t="str">
        <f>IF(E11=0,"OK","Check")</f>
        <v>OK</v>
      </c>
      <c r="G11" s="32" t="str">
        <f>IFERROR(INDEX(Items!$D$2:$D$200,MATCH($A11,Items!$A$2:$A$200,0)),"SKU not found")</f>
        <v>A-04-01</v>
      </c>
      <c r="H11" s="36">
        <f>IFERROR(INDEX(Items!$E$2:$E$200,MATCH($A11,Items!$A$2:$A$200,0)),0)</f>
        <v>156</v>
      </c>
      <c r="I11" s="36">
        <f>E11*H11</f>
        <v>0</v>
      </c>
      <c r="J11" s="31" t="n"/>
      <c r="K11" s="37" t="n">
        <v>46293</v>
      </c>
    </row>
    <row r="12" ht="18" customHeight="1">
      <c r="A12" s="31" t="inlineStr">
        <is>
          <t>LHG-10123</t>
        </is>
      </c>
      <c r="B12" s="32" t="str">
        <f>IFERROR(INDEX(Items!$B$2:$B$200,MATCH($A12,Items!$A$2:$A$200,0)),"SKU not found")</f>
        <v>Stoneware dinner plate, set of 4</v>
      </c>
      <c r="C12" s="33" t="n">
        <v>26</v>
      </c>
      <c r="D12" s="33" t="n">
        <v>26</v>
      </c>
      <c r="E12" s="34">
        <f>D12-C12</f>
        <v>0</v>
      </c>
      <c r="F12" s="35" t="str">
        <f>IF(E12=0,"OK","Check")</f>
        <v>OK</v>
      </c>
      <c r="G12" s="32" t="str">
        <f>IFERROR(INDEX(Items!$D$2:$D$200,MATCH($A12,Items!$A$2:$A$200,0)),"SKU not found")</f>
        <v>B-01-01</v>
      </c>
      <c r="H12" s="36">
        <f>IFERROR(INDEX(Items!$E$2:$E$200,MATCH($A12,Items!$A$2:$A$200,0)),0)</f>
        <v>21.8</v>
      </c>
      <c r="I12" s="36">
        <f>E12*H12</f>
        <v>0</v>
      </c>
      <c r="J12" s="31" t="n"/>
      <c r="K12" s="37" t="n">
        <v>46293</v>
      </c>
    </row>
    <row r="13" ht="18" customHeight="1">
      <c r="A13" s="31" t="inlineStr">
        <is>
          <t>LHG-10140</t>
        </is>
      </c>
      <c r="B13" s="32" t="str">
        <f>IFERROR(INDEX(Items!$B$2:$B$200,MATCH($A13,Items!$A$2:$A$200,0)),"SKU not found")</f>
        <v>Glass tumbler, 12 oz, set of 6</v>
      </c>
      <c r="C13" s="33" t="n">
        <v>135</v>
      </c>
      <c r="D13" s="33" t="n">
        <v>134</v>
      </c>
      <c r="E13" s="34">
        <f>D13-C13</f>
        <v>-1</v>
      </c>
      <c r="F13" s="35" t="str">
        <f>IF(E13=0,"OK","Check")</f>
        <v>Check</v>
      </c>
      <c r="G13" s="32" t="str">
        <f>IFERROR(INDEX(Items!$D$2:$D$200,MATCH($A13,Items!$A$2:$A$200,0)),"SKU not found")</f>
        <v>B-01-02</v>
      </c>
      <c r="H13" s="36">
        <f>IFERROR(INDEX(Items!$E$2:$E$200,MATCH($A13,Items!$A$2:$A$200,0)),0)</f>
        <v>14.25</v>
      </c>
      <c r="I13" s="36">
        <f>E13*H13</f>
        <v>-14.25</v>
      </c>
      <c r="J13" s="31" t="inlineStr">
        <is>
          <t>Damaged, not recorded</t>
        </is>
      </c>
      <c r="K13" s="37" t="n">
        <v>46293</v>
      </c>
    </row>
    <row r="14" ht="18" customHeight="1">
      <c r="A14" s="31" t="inlineStr">
        <is>
          <t>LHG-10157</t>
        </is>
      </c>
      <c r="B14" s="32" t="str">
        <f>IFERROR(INDEX(Items!$B$2:$B$200,MATCH($A14,Items!$A$2:$A$200,0)),"SKU not found")</f>
        <v>Cotton bath towel, grey</v>
      </c>
      <c r="C14" s="33" t="n">
        <v>30</v>
      </c>
      <c r="D14" s="33" t="n">
        <v>30</v>
      </c>
      <c r="E14" s="34">
        <f>D14-C14</f>
        <v>0</v>
      </c>
      <c r="F14" s="35" t="str">
        <f>IF(E14=0,"OK","Check")</f>
        <v>OK</v>
      </c>
      <c r="G14" s="32" t="str">
        <f>IFERROR(INDEX(Items!$D$2:$D$200,MATCH($A14,Items!$A$2:$A$200,0)),"SKU not found")</f>
        <v>B-01-03</v>
      </c>
      <c r="H14" s="36">
        <f>IFERROR(INDEX(Items!$E$2:$E$200,MATCH($A14,Items!$A$2:$A$200,0)),0)</f>
        <v>9.6</v>
      </c>
      <c r="I14" s="36">
        <f>E14*H14</f>
        <v>0</v>
      </c>
      <c r="J14" s="31" t="n"/>
      <c r="K14" s="37" t="n">
        <v>46293</v>
      </c>
    </row>
    <row r="15" ht="18" customHeight="1">
      <c r="A15" s="31" t="inlineStr">
        <is>
          <t>LHG-10174</t>
        </is>
      </c>
      <c r="B15" s="32" t="str">
        <f>IFERROR(INDEX(Items!$B$2:$B$200,MATCH($A15,Items!$A$2:$A$200,0)),"SKU not found")</f>
        <v>Queen sheet set, white</v>
      </c>
      <c r="C15" s="33" t="n">
        <v>50</v>
      </c>
      <c r="D15" s="33" t="n">
        <v>50</v>
      </c>
      <c r="E15" s="34">
        <f>D15-C15</f>
        <v>0</v>
      </c>
      <c r="F15" s="35" t="str">
        <f>IF(E15=0,"OK","Check")</f>
        <v>OK</v>
      </c>
      <c r="G15" s="32" t="str">
        <f>IFERROR(INDEX(Items!$D$2:$D$200,MATCH($A15,Items!$A$2:$A$200,0)),"SKU not found")</f>
        <v>B-02-01</v>
      </c>
      <c r="H15" s="36">
        <f>IFERROR(INDEX(Items!$E$2:$E$200,MATCH($A15,Items!$A$2:$A$200,0)),0)</f>
        <v>31.4</v>
      </c>
      <c r="I15" s="36">
        <f>E15*H15</f>
        <v>0</v>
      </c>
      <c r="J15" s="31" t="n"/>
      <c r="K15" s="37" t="n">
        <v>46293</v>
      </c>
    </row>
    <row r="16" ht="18" customHeight="1">
      <c r="A16" s="31" t="inlineStr">
        <is>
          <t>LHG-10191</t>
        </is>
      </c>
      <c r="B16" s="32" t="str">
        <f>IFERROR(INDEX(Items!$B$2:$B$200,MATCH($A16,Items!$A$2:$A$200,0)),"SKU not found")</f>
        <v>Non-stick fry pan, 10 in</v>
      </c>
      <c r="C16" s="33" t="n">
        <v>36</v>
      </c>
      <c r="D16" s="33" t="n">
        <v>36</v>
      </c>
      <c r="E16" s="34">
        <f>D16-C16</f>
        <v>0</v>
      </c>
      <c r="F16" s="35" t="str">
        <f>IF(E16=0,"OK","Check")</f>
        <v>OK</v>
      </c>
      <c r="G16" s="32" t="str">
        <f>IFERROR(INDEX(Items!$D$2:$D$200,MATCH($A16,Items!$A$2:$A$200,0)),"SKU not found")</f>
        <v>B-02-02</v>
      </c>
      <c r="H16" s="36">
        <f>IFERROR(INDEX(Items!$E$2:$E$200,MATCH($A16,Items!$A$2:$A$200,0)),0)</f>
        <v>17.9</v>
      </c>
      <c r="I16" s="36">
        <f>E16*H16</f>
        <v>0</v>
      </c>
      <c r="J16" s="31" t="n"/>
      <c r="K16" s="37" t="n">
        <v>46294</v>
      </c>
    </row>
    <row r="17" ht="18" customHeight="1">
      <c r="A17" s="31" t="inlineStr">
        <is>
          <t>LHG-10208</t>
        </is>
      </c>
      <c r="B17" s="32" t="str">
        <f>IFERROR(INDEX(Items!$B$2:$B$200,MATCH($A17,Items!$A$2:$A$200,0)),"SKU not found")</f>
        <v>Ceramic table lamp, 24 in</v>
      </c>
      <c r="C17" s="33" t="n">
        <v>26</v>
      </c>
      <c r="D17" s="33" t="n">
        <v>26</v>
      </c>
      <c r="E17" s="34">
        <f>D17-C17</f>
        <v>0</v>
      </c>
      <c r="F17" s="35" t="str">
        <f>IF(E17=0,"OK","Check")</f>
        <v>OK</v>
      </c>
      <c r="G17" s="32" t="str">
        <f>IFERROR(INDEX(Items!$D$2:$D$200,MATCH($A17,Items!$A$2:$A$200,0)),"SKU not found")</f>
        <v>B-02-03</v>
      </c>
      <c r="H17" s="36">
        <f>IFERROR(INDEX(Items!$E$2:$E$200,MATCH($A17,Items!$A$2:$A$200,0)),0)</f>
        <v>38.5</v>
      </c>
      <c r="I17" s="36">
        <f>E17*H17</f>
        <v>0</v>
      </c>
      <c r="J17" s="31" t="n"/>
      <c r="K17" s="37" t="n">
        <v>46294</v>
      </c>
    </row>
    <row r="18" ht="18" customHeight="1">
      <c r="A18" s="31" t="inlineStr">
        <is>
          <t>LHG-10225</t>
        </is>
      </c>
      <c r="B18" s="32" t="str">
        <f>IFERROR(INDEX(Items!$B$2:$B$200,MATCH($A18,Items!$A$2:$A$200,0)),"SKU not found")</f>
        <v>Throw pillow cover, linen, 18 in</v>
      </c>
      <c r="C18" s="33" t="n">
        <v>90</v>
      </c>
      <c r="D18" s="33" t="n">
        <v>87</v>
      </c>
      <c r="E18" s="34">
        <f>D18-C18</f>
        <v>-3</v>
      </c>
      <c r="F18" s="35" t="str">
        <f>IF(E18=0,"OK","Check")</f>
        <v>Check</v>
      </c>
      <c r="G18" s="32" t="str">
        <f>IFERROR(INDEX(Items!$D$2:$D$200,MATCH($A18,Items!$A$2:$A$200,0)),"SKU not found")</f>
        <v>B-03-01</v>
      </c>
      <c r="H18" s="36">
        <f>IFERROR(INDEX(Items!$E$2:$E$200,MATCH($A18,Items!$A$2:$A$200,0)),0)</f>
        <v>6.75</v>
      </c>
      <c r="I18" s="36">
        <f>E18*H18</f>
        <v>-20.25</v>
      </c>
      <c r="J18" s="31" t="inlineStr">
        <is>
          <t>Unrecorded transfer</t>
        </is>
      </c>
      <c r="K18" s="37" t="n">
        <v>46294</v>
      </c>
    </row>
    <row r="19" ht="18" customHeight="1">
      <c r="A19" s="31" t="inlineStr">
        <is>
          <t>LHG-10242</t>
        </is>
      </c>
      <c r="B19" s="32" t="str">
        <f>IFERROR(INDEX(Items!$B$2:$B$200,MATCH($A19,Items!$A$2:$A$200,0)),"SKU not found")</f>
        <v>Bamboo cutting board, large</v>
      </c>
      <c r="C19" s="33" t="n">
        <v>125</v>
      </c>
      <c r="D19" s="33" t="n">
        <v>125</v>
      </c>
      <c r="E19" s="34">
        <f>D19-C19</f>
        <v>0</v>
      </c>
      <c r="F19" s="35" t="str">
        <f>IF(E19=0,"OK","Check")</f>
        <v>OK</v>
      </c>
      <c r="G19" s="32" t="str">
        <f>IFERROR(INDEX(Items!$D$2:$D$200,MATCH($A19,Items!$A$2:$A$200,0)),"SKU not found")</f>
        <v>B-03-02</v>
      </c>
      <c r="H19" s="36">
        <f>IFERROR(INDEX(Items!$E$2:$E$200,MATCH($A19,Items!$A$2:$A$200,0)),0)</f>
        <v>11.2</v>
      </c>
      <c r="I19" s="36">
        <f>E19*H19</f>
        <v>0</v>
      </c>
      <c r="J19" s="31" t="n"/>
      <c r="K19" s="37" t="n">
        <v>46294</v>
      </c>
    </row>
    <row r="20" ht="18" customHeight="1">
      <c r="A20" s="31" t="inlineStr">
        <is>
          <t>LHG-10259</t>
        </is>
      </c>
      <c r="B20" s="32" t="str">
        <f>IFERROR(INDEX(Items!$B$2:$B$200,MATCH($A20,Items!$A$2:$A$200,0)),"SKU not found")</f>
        <v>Wall clock, 12 in, black</v>
      </c>
      <c r="C20" s="33" t="n">
        <v>80</v>
      </c>
      <c r="D20" s="33" t="n">
        <v>80</v>
      </c>
      <c r="E20" s="34">
        <f>D20-C20</f>
        <v>0</v>
      </c>
      <c r="F20" s="35" t="str">
        <f>IF(E20=0,"OK","Check")</f>
        <v>OK</v>
      </c>
      <c r="G20" s="32" t="str">
        <f>IFERROR(INDEX(Items!$D$2:$D$200,MATCH($A20,Items!$A$2:$A$200,0)),"SKU not found")</f>
        <v>B-03-03</v>
      </c>
      <c r="H20" s="36">
        <f>IFERROR(INDEX(Items!$E$2:$E$200,MATCH($A20,Items!$A$2:$A$200,0)),0)</f>
        <v>13.8</v>
      </c>
      <c r="I20" s="36">
        <f>E20*H20</f>
        <v>0</v>
      </c>
      <c r="J20" s="31" t="n"/>
      <c r="K20" s="37" t="n">
        <v>46294</v>
      </c>
    </row>
    <row r="21" ht="18" customHeight="1">
      <c r="A21" s="31" t="inlineStr">
        <is>
          <t>LHG-10276</t>
        </is>
      </c>
      <c r="B21" s="32" t="str">
        <f>IFERROR(INDEX(Items!$B$2:$B$200,MATCH($A21,Items!$A$2:$A$200,0)),"SKU not found")</f>
        <v>Storage bin, woven, set of 3</v>
      </c>
      <c r="C21" s="33" t="n">
        <v>32</v>
      </c>
      <c r="D21" s="33" t="n">
        <v>32</v>
      </c>
      <c r="E21" s="34">
        <f>D21-C21</f>
        <v>0</v>
      </c>
      <c r="F21" s="35" t="str">
        <f>IF(E21=0,"OK","Check")</f>
        <v>OK</v>
      </c>
      <c r="G21" s="32" t="str">
        <f>IFERROR(INDEX(Items!$D$2:$D$200,MATCH($A21,Items!$A$2:$A$200,0)),"SKU not found")</f>
        <v>B-04-01</v>
      </c>
      <c r="H21" s="36">
        <f>IFERROR(INDEX(Items!$E$2:$E$200,MATCH($A21,Items!$A$2:$A$200,0)),0)</f>
        <v>19.95</v>
      </c>
      <c r="I21" s="36">
        <f>E21*H21</f>
        <v>0</v>
      </c>
      <c r="J21" s="31" t="n"/>
      <c r="K21" s="37" t="n">
        <v>46294</v>
      </c>
    </row>
    <row r="22" ht="18" customHeight="1">
      <c r="A22" s="31" t="inlineStr">
        <is>
          <t>NPS-10126</t>
        </is>
      </c>
      <c r="B22" s="32" t="str">
        <f>IFERROR(INDEX(Items!$B$2:$B$200,MATCH($A22,Items!$A$2:$A$200,0)),"SKU not found")</f>
        <v>Dry dog food, adult, 13.6 kg</v>
      </c>
      <c r="C22" s="33" t="n">
        <v>56</v>
      </c>
      <c r="D22" s="33" t="n">
        <v>56</v>
      </c>
      <c r="E22" s="34">
        <f>D22-C22</f>
        <v>0</v>
      </c>
      <c r="F22" s="35" t="str">
        <f>IF(E22=0,"OK","Check")</f>
        <v>OK</v>
      </c>
      <c r="G22" s="32" t="str">
        <f>IFERROR(INDEX(Items!$D$2:$D$200,MATCH($A22,Items!$A$2:$A$200,0)),"SKU not found")</f>
        <v>C-01-01</v>
      </c>
      <c r="H22" s="36">
        <f>IFERROR(INDEX(Items!$E$2:$E$200,MATCH($A22,Items!$A$2:$A$200,0)),0)</f>
        <v>41.2</v>
      </c>
      <c r="I22" s="36">
        <f>E22*H22</f>
        <v>0</v>
      </c>
      <c r="J22" s="31" t="n"/>
      <c r="K22" s="37" t="n">
        <v>46294</v>
      </c>
    </row>
    <row r="23" ht="18" customHeight="1">
      <c r="A23" s="31" t="inlineStr">
        <is>
          <t>NPS-10143</t>
        </is>
      </c>
      <c r="B23" s="32" t="str">
        <f>IFERROR(INDEX(Items!$B$2:$B$200,MATCH($A23,Items!$A$2:$A$200,0)),"SKU not found")</f>
        <v>Dry cat food, indoor, 7 kg</v>
      </c>
      <c r="C23" s="33" t="n">
        <v>14</v>
      </c>
      <c r="D23" s="33" t="n">
        <v>13</v>
      </c>
      <c r="E23" s="34">
        <f>D23-C23</f>
        <v>-1</v>
      </c>
      <c r="F23" s="35" t="str">
        <f>IF(E23=0,"OK","Check")</f>
        <v>Check</v>
      </c>
      <c r="G23" s="32" t="str">
        <f>IFERROR(INDEX(Items!$D$2:$D$200,MATCH($A23,Items!$A$2:$A$200,0)),"SKU not found")</f>
        <v>C-01-02</v>
      </c>
      <c r="H23" s="36">
        <f>IFERROR(INDEX(Items!$E$2:$E$200,MATCH($A23,Items!$A$2:$A$200,0)),0)</f>
        <v>28.9</v>
      </c>
      <c r="I23" s="36">
        <f>E23*H23</f>
        <v>-28.9</v>
      </c>
      <c r="J23" s="31" t="inlineStr">
        <is>
          <t>Mis-pick</t>
        </is>
      </c>
      <c r="K23" s="37" t="n">
        <v>46294</v>
      </c>
    </row>
    <row r="24" ht="18" customHeight="1">
      <c r="A24" s="31" t="inlineStr">
        <is>
          <t>NPS-10160</t>
        </is>
      </c>
      <c r="B24" s="32" t="str">
        <f>IFERROR(INDEX(Items!$B$2:$B$200,MATCH($A24,Items!$A$2:$A$200,0)),"SKU not found")</f>
        <v>Clumping cat litter, 18 kg</v>
      </c>
      <c r="C24" s="33" t="n">
        <v>60</v>
      </c>
      <c r="D24" s="33" t="n">
        <v>60</v>
      </c>
      <c r="E24" s="34">
        <f>D24-C24</f>
        <v>0</v>
      </c>
      <c r="F24" s="35" t="str">
        <f>IF(E24=0,"OK","Check")</f>
        <v>OK</v>
      </c>
      <c r="G24" s="32" t="str">
        <f>IFERROR(INDEX(Items!$D$2:$D$200,MATCH($A24,Items!$A$2:$A$200,0)),"SKU not found")</f>
        <v>C-01-03</v>
      </c>
      <c r="H24" s="36">
        <f>IFERROR(INDEX(Items!$E$2:$E$200,MATCH($A24,Items!$A$2:$A$200,0)),0)</f>
        <v>12.4</v>
      </c>
      <c r="I24" s="36">
        <f>E24*H24</f>
        <v>0</v>
      </c>
      <c r="J24" s="31" t="n"/>
      <c r="K24" s="37" t="n">
        <v>46294</v>
      </c>
    </row>
    <row r="25" ht="18" customHeight="1">
      <c r="A25" s="31" t="inlineStr">
        <is>
          <t>NPS-10177</t>
        </is>
      </c>
      <c r="B25" s="32" t="str">
        <f>IFERROR(INDEX(Items!$B$2:$B$200,MATCH($A25,Items!$A$2:$A$200,0)),"SKU not found")</f>
        <v>Dog leash, nylon, 6 ft</v>
      </c>
      <c r="C25" s="33" t="n">
        <v>55</v>
      </c>
      <c r="D25" s="33" t="n">
        <v>55</v>
      </c>
      <c r="E25" s="34">
        <f>D25-C25</f>
        <v>0</v>
      </c>
      <c r="F25" s="35" t="str">
        <f>IF(E25=0,"OK","Check")</f>
        <v>OK</v>
      </c>
      <c r="G25" s="32" t="str">
        <f>IFERROR(INDEX(Items!$D$2:$D$200,MATCH($A25,Items!$A$2:$A$200,0)),"SKU not found")</f>
        <v>C-02-01</v>
      </c>
      <c r="H25" s="36">
        <f>IFERROR(INDEX(Items!$E$2:$E$200,MATCH($A25,Items!$A$2:$A$200,0)),0)</f>
        <v>5.85</v>
      </c>
      <c r="I25" s="36">
        <f>E25*H25</f>
        <v>0</v>
      </c>
      <c r="J25" s="31" t="n"/>
      <c r="K25" s="37" t="n">
        <v>46294</v>
      </c>
    </row>
    <row r="26" ht="18" customHeight="1">
      <c r="A26" s="31" t="inlineStr">
        <is>
          <t>NPS-10194</t>
        </is>
      </c>
      <c r="B26" s="32" t="str">
        <f>IFERROR(INDEX(Items!$B$2:$B$200,MATCH($A26,Items!$A$2:$A$200,0)),"SKU not found")</f>
        <v>Rawhide-free chew, 10 pk</v>
      </c>
      <c r="C26" s="33" t="n">
        <v>70</v>
      </c>
      <c r="D26" s="33" t="n">
        <v>72</v>
      </c>
      <c r="E26" s="34">
        <f>D26-C26</f>
        <v>2</v>
      </c>
      <c r="F26" s="35" t="str">
        <f>IF(E26=0,"OK","Check")</f>
        <v>Check</v>
      </c>
      <c r="G26" s="32" t="str">
        <f>IFERROR(INDEX(Items!$D$2:$D$200,MATCH($A26,Items!$A$2:$A$200,0)),"SKU not found")</f>
        <v>C-02-02</v>
      </c>
      <c r="H26" s="36">
        <f>IFERROR(INDEX(Items!$E$2:$E$200,MATCH($A26,Items!$A$2:$A$200,0)),0)</f>
        <v>8.7</v>
      </c>
      <c r="I26" s="36">
        <f>E26*H26</f>
        <v>17.4</v>
      </c>
      <c r="J26" s="31" t="inlineStr">
        <is>
          <t>Count error</t>
        </is>
      </c>
      <c r="K26" s="37" t="n">
        <v>46294</v>
      </c>
    </row>
    <row r="27" ht="18" customHeight="1">
      <c r="A27" s="31" t="inlineStr">
        <is>
          <t>NPS-10211</t>
        </is>
      </c>
      <c r="B27" s="32" t="str">
        <f>IFERROR(INDEX(Items!$B$2:$B$200,MATCH($A27,Items!$A$2:$A$200,0)),"SKU not found")</f>
        <v>Stainless dog bowl, large</v>
      </c>
      <c r="C27" s="33" t="n">
        <v>75</v>
      </c>
      <c r="D27" s="33" t="n">
        <v>75</v>
      </c>
      <c r="E27" s="34">
        <f>D27-C27</f>
        <v>0</v>
      </c>
      <c r="F27" s="35" t="str">
        <f>IF(E27=0,"OK","Check")</f>
        <v>OK</v>
      </c>
      <c r="G27" s="32" t="str">
        <f>IFERROR(INDEX(Items!$D$2:$D$200,MATCH($A27,Items!$A$2:$A$200,0)),"SKU not found")</f>
        <v>C-02-03</v>
      </c>
      <c r="H27" s="36">
        <f>IFERROR(INDEX(Items!$E$2:$E$200,MATCH($A27,Items!$A$2:$A$200,0)),0)</f>
        <v>6.1</v>
      </c>
      <c r="I27" s="36">
        <f>E27*H27</f>
        <v>0</v>
      </c>
      <c r="J27" s="31" t="n"/>
      <c r="K27" s="37" t="n">
        <v>46294</v>
      </c>
    </row>
    <row r="28" ht="18" customHeight="1">
      <c r="A28" s="31" t="inlineStr">
        <is>
          <t>NPS-10228</t>
        </is>
      </c>
      <c r="B28" s="32" t="str">
        <f>IFERROR(INDEX(Items!$B$2:$B$200,MATCH($A28,Items!$A$2:$A$200,0)),"SKU not found")</f>
        <v>Cat scratching post, 32 in</v>
      </c>
      <c r="C28" s="33" t="n">
        <v>58</v>
      </c>
      <c r="D28" s="33" t="n">
        <v>58</v>
      </c>
      <c r="E28" s="34">
        <f>D28-C28</f>
        <v>0</v>
      </c>
      <c r="F28" s="35" t="str">
        <f>IF(E28=0,"OK","Check")</f>
        <v>OK</v>
      </c>
      <c r="G28" s="32" t="str">
        <f>IFERROR(INDEX(Items!$D$2:$D$200,MATCH($A28,Items!$A$2:$A$200,0)),"SKU not found")</f>
        <v>C-03-01</v>
      </c>
      <c r="H28" s="36">
        <f>IFERROR(INDEX(Items!$E$2:$E$200,MATCH($A28,Items!$A$2:$A$200,0)),0)</f>
        <v>22.6</v>
      </c>
      <c r="I28" s="36">
        <f>E28*H28</f>
        <v>0</v>
      </c>
      <c r="J28" s="31" t="n"/>
      <c r="K28" s="37" t="n">
        <v>46294</v>
      </c>
    </row>
    <row r="29" ht="18" customHeight="1">
      <c r="A29" s="31" t="inlineStr">
        <is>
          <t>NPS-10245</t>
        </is>
      </c>
      <c r="B29" s="32" t="str">
        <f>IFERROR(INDEX(Items!$B$2:$B$200,MATCH($A29,Items!$A$2:$A$200,0)),"SKU not found")</f>
        <v>Puppy training pads, 100 ct</v>
      </c>
      <c r="C29" s="33" t="n">
        <v>24</v>
      </c>
      <c r="D29" s="33" t="n">
        <v>24</v>
      </c>
      <c r="E29" s="34">
        <f>D29-C29</f>
        <v>0</v>
      </c>
      <c r="F29" s="35" t="str">
        <f>IF(E29=0,"OK","Check")</f>
        <v>OK</v>
      </c>
      <c r="G29" s="32" t="str">
        <f>IFERROR(INDEX(Items!$D$2:$D$200,MATCH($A29,Items!$A$2:$A$200,0)),"SKU not found")</f>
        <v>C-03-02</v>
      </c>
      <c r="H29" s="36">
        <f>IFERROR(INDEX(Items!$E$2:$E$200,MATCH($A29,Items!$A$2:$A$200,0)),0)</f>
        <v>18.3</v>
      </c>
      <c r="I29" s="36">
        <f>E29*H29</f>
        <v>0</v>
      </c>
      <c r="J29" s="31" t="n"/>
      <c r="K29" s="37" t="n">
        <v>46294</v>
      </c>
    </row>
    <row r="30" ht="18" customHeight="1">
      <c r="A30" s="31" t="inlineStr">
        <is>
          <t>NPS-10262</t>
        </is>
      </c>
      <c r="B30" s="32" t="str">
        <f>IFERROR(INDEX(Items!$B$2:$B$200,MATCH($A30,Items!$A$2:$A$200,0)),"SKU not found")</f>
        <v>Dog bed, orthopedic, medium</v>
      </c>
      <c r="C30" s="33" t="n">
        <v>30</v>
      </c>
      <c r="D30" s="33" t="n">
        <v>24</v>
      </c>
      <c r="E30" s="34">
        <f>D30-C30</f>
        <v>-6</v>
      </c>
      <c r="F30" s="35" t="str">
        <f>IF(E30=0,"OK","Check")</f>
        <v>Check</v>
      </c>
      <c r="G30" s="32" t="str">
        <f>IFERROR(INDEX(Items!$D$2:$D$200,MATCH($A30,Items!$A$2:$A$200,0)),"SKU not found")</f>
        <v>C-03-03</v>
      </c>
      <c r="H30" s="36">
        <f>IFERROR(INDEX(Items!$E$2:$E$200,MATCH($A30,Items!$A$2:$A$200,0)),0)</f>
        <v>34.75</v>
      </c>
      <c r="I30" s="36">
        <f>E30*H30</f>
        <v>-208.5</v>
      </c>
      <c r="J30" s="31" t="inlineStr">
        <is>
          <t>Receiving error</t>
        </is>
      </c>
      <c r="K30" s="37" t="n">
        <v>46295</v>
      </c>
    </row>
    <row r="31" ht="18" customHeight="1">
      <c r="A31" s="31" t="inlineStr">
        <is>
          <t>NPS-10279</t>
        </is>
      </c>
      <c r="B31" s="32" t="str">
        <f>IFERROR(INDEX(Items!$B$2:$B$200,MATCH($A31,Items!$A$2:$A$200,0)),"SKU not found")</f>
        <v>Bird seed mix, 4.5 kg</v>
      </c>
      <c r="C31" s="33" t="n">
        <v>145</v>
      </c>
      <c r="D31" s="33" t="n">
        <v>145</v>
      </c>
      <c r="E31" s="34">
        <f>D31-C31</f>
        <v>0</v>
      </c>
      <c r="F31" s="35" t="str">
        <f>IF(E31=0,"OK","Check")</f>
        <v>OK</v>
      </c>
      <c r="G31" s="32" t="str">
        <f>IFERROR(INDEX(Items!$D$2:$D$200,MATCH($A31,Items!$A$2:$A$200,0)),"SKU not found")</f>
        <v>C-04-01</v>
      </c>
      <c r="H31" s="36">
        <f>IFERROR(INDEX(Items!$E$2:$E$200,MATCH($A31,Items!$A$2:$A$200,0)),0)</f>
        <v>9.95</v>
      </c>
      <c r="I31" s="36">
        <f>E31*H31</f>
        <v>0</v>
      </c>
      <c r="J31" s="31" t="n"/>
      <c r="K31" s="37" t="n">
        <v>46295</v>
      </c>
    </row>
    <row r="32" ht="18" customHeight="1">
      <c r="A32" s="31" t="inlineStr">
        <is>
          <t>MCC-10129</t>
        </is>
      </c>
      <c r="B32" s="32" t="str">
        <f>IFERROR(INDEX(Items!$B$2:$B$200,MATCH($A32,Items!$A$2:$A$200,0)),"SKU not found")</f>
        <v>Whole bean, house blend, 1 kg</v>
      </c>
      <c r="C32" s="33" t="n">
        <v>48</v>
      </c>
      <c r="D32" s="33" t="n">
        <v>48</v>
      </c>
      <c r="E32" s="34">
        <f>D32-C32</f>
        <v>0</v>
      </c>
      <c r="F32" s="35" t="str">
        <f>IF(E32=0,"OK","Check")</f>
        <v>OK</v>
      </c>
      <c r="G32" s="32" t="str">
        <f>IFERROR(INDEX(Items!$D$2:$D$200,MATCH($A32,Items!$A$2:$A$200,0)),"SKU not found")</f>
        <v>D-01-01</v>
      </c>
      <c r="H32" s="36">
        <f>IFERROR(INDEX(Items!$E$2:$E$200,MATCH($A32,Items!$A$2:$A$200,0)),0)</f>
        <v>17.4</v>
      </c>
      <c r="I32" s="36">
        <f>E32*H32</f>
        <v>0</v>
      </c>
      <c r="J32" s="31" t="n"/>
      <c r="K32" s="37" t="n">
        <v>46295</v>
      </c>
    </row>
    <row r="33" ht="18" customHeight="1">
      <c r="A33" s="31" t="inlineStr">
        <is>
          <t>MCC-10146</t>
        </is>
      </c>
      <c r="B33" s="32" t="str">
        <f>IFERROR(INDEX(Items!$B$2:$B$200,MATCH($A33,Items!$A$2:$A$200,0)),"SKU not found")</f>
        <v>Whole bean, dark roast, 1 kg</v>
      </c>
      <c r="C33" s="33" t="n">
        <v>48</v>
      </c>
      <c r="D33" s="33" t="n">
        <v>48</v>
      </c>
      <c r="E33" s="34">
        <f>D33-C33</f>
        <v>0</v>
      </c>
      <c r="F33" s="35" t="str">
        <f>IF(E33=0,"OK","Check")</f>
        <v>OK</v>
      </c>
      <c r="G33" s="32" t="str">
        <f>IFERROR(INDEX(Items!$D$2:$D$200,MATCH($A33,Items!$A$2:$A$200,0)),"SKU not found")</f>
        <v>D-01-02</v>
      </c>
      <c r="H33" s="36">
        <f>IFERROR(INDEX(Items!$E$2:$E$200,MATCH($A33,Items!$A$2:$A$200,0)),0)</f>
        <v>18.1</v>
      </c>
      <c r="I33" s="36">
        <f>E33*H33</f>
        <v>0</v>
      </c>
      <c r="J33" s="31" t="n"/>
      <c r="K33" s="37" t="n">
        <v>46295</v>
      </c>
    </row>
    <row r="34" ht="18" customHeight="1">
      <c r="A34" s="31" t="inlineStr">
        <is>
          <t>MCC-10163</t>
        </is>
      </c>
      <c r="B34" s="32" t="str">
        <f>IFERROR(INDEX(Items!$B$2:$B$200,MATCH($A34,Items!$A$2:$A$200,0)),"SKU not found")</f>
        <v>Ground, medium roast, 340 g</v>
      </c>
      <c r="C34" s="33" t="n">
        <v>100</v>
      </c>
      <c r="D34" s="33" t="n">
        <v>100</v>
      </c>
      <c r="E34" s="34">
        <f>D34-C34</f>
        <v>0</v>
      </c>
      <c r="F34" s="35" t="str">
        <f>IF(E34=0,"OK","Check")</f>
        <v>OK</v>
      </c>
      <c r="G34" s="32" t="str">
        <f>IFERROR(INDEX(Items!$D$2:$D$200,MATCH($A34,Items!$A$2:$A$200,0)),"SKU not found")</f>
        <v>D-01-03</v>
      </c>
      <c r="H34" s="36">
        <f>IFERROR(INDEX(Items!$E$2:$E$200,MATCH($A34,Items!$A$2:$A$200,0)),0)</f>
        <v>6.95</v>
      </c>
      <c r="I34" s="36">
        <f>E34*H34</f>
        <v>0</v>
      </c>
      <c r="J34" s="31" t="n"/>
      <c r="K34" s="37" t="n">
        <v>46295</v>
      </c>
    </row>
    <row r="35" ht="18" customHeight="1">
      <c r="A35" s="31" t="inlineStr">
        <is>
          <t>MCC-10180</t>
        </is>
      </c>
      <c r="B35" s="32" t="str">
        <f>IFERROR(INDEX(Items!$B$2:$B$200,MATCH($A35,Items!$A$2:$A$200,0)),"SKU not found")</f>
        <v>Decaf whole bean, 1 kg</v>
      </c>
      <c r="C35" s="33" t="n">
        <v>16</v>
      </c>
      <c r="D35" s="33" t="n">
        <v>15</v>
      </c>
      <c r="E35" s="34">
        <f>D35-C35</f>
        <v>-1</v>
      </c>
      <c r="F35" s="35" t="str">
        <f>IF(E35=0,"OK","Check")</f>
        <v>Check</v>
      </c>
      <c r="G35" s="32" t="str">
        <f>IFERROR(INDEX(Items!$D$2:$D$200,MATCH($A35,Items!$A$2:$A$200,0)),"SKU not found")</f>
        <v>D-02-01</v>
      </c>
      <c r="H35" s="36">
        <f>IFERROR(INDEX(Items!$E$2:$E$200,MATCH($A35,Items!$A$2:$A$200,0)),0)</f>
        <v>19.2</v>
      </c>
      <c r="I35" s="36">
        <f>E35*H35</f>
        <v>-19.2</v>
      </c>
      <c r="J35" s="31" t="inlineStr">
        <is>
          <t>Damaged, not recorded</t>
        </is>
      </c>
      <c r="K35" s="37" t="n">
        <v>46295</v>
      </c>
    </row>
    <row r="36" ht="18" customHeight="1">
      <c r="A36" s="31" t="inlineStr">
        <is>
          <t>MCC-10197</t>
        </is>
      </c>
      <c r="B36" s="32" t="str">
        <f>IFERROR(INDEX(Items!$B$2:$B$200,MATCH($A36,Items!$A$2:$A$200,0)),"SKU not found")</f>
        <v>Paper cup, 12 oz (sleeve of 50)</v>
      </c>
      <c r="C36" s="33" t="n">
        <v>45</v>
      </c>
      <c r="D36" s="33" t="n">
        <v>45</v>
      </c>
      <c r="E36" s="34">
        <f>D36-C36</f>
        <v>0</v>
      </c>
      <c r="F36" s="35" t="str">
        <f>IF(E36=0,"OK","Check")</f>
        <v>OK</v>
      </c>
      <c r="G36" s="32" t="str">
        <f>IFERROR(INDEX(Items!$D$2:$D$200,MATCH($A36,Items!$A$2:$A$200,0)),"SKU not found")</f>
        <v>D-02-02</v>
      </c>
      <c r="H36" s="36">
        <f>IFERROR(INDEX(Items!$E$2:$E$200,MATCH($A36,Items!$A$2:$A$200,0)),0)</f>
        <v>4.6</v>
      </c>
      <c r="I36" s="36">
        <f>E36*H36</f>
        <v>0</v>
      </c>
      <c r="J36" s="31" t="n"/>
      <c r="K36" s="37" t="n">
        <v>46295</v>
      </c>
    </row>
    <row r="37" ht="18" customHeight="1">
      <c r="A37" s="31" t="inlineStr">
        <is>
          <t>MCC-10214</t>
        </is>
      </c>
      <c r="B37" s="32" t="str">
        <f>IFERROR(INDEX(Items!$B$2:$B$200,MATCH($A37,Items!$A$2:$A$200,0)),"SKU not found")</f>
        <v>Cup lid, 12 oz (sleeve of 100)</v>
      </c>
      <c r="C37" s="33" t="n">
        <v>105</v>
      </c>
      <c r="D37" s="33" t="n">
        <v>105</v>
      </c>
      <c r="E37" s="34">
        <f>D37-C37</f>
        <v>0</v>
      </c>
      <c r="F37" s="35" t="str">
        <f>IF(E37=0,"OK","Check")</f>
        <v>OK</v>
      </c>
      <c r="G37" s="32" t="str">
        <f>IFERROR(INDEX(Items!$D$2:$D$200,MATCH($A37,Items!$A$2:$A$200,0)),"SKU not found")</f>
        <v>D-02-03</v>
      </c>
      <c r="H37" s="36">
        <f>IFERROR(INDEX(Items!$E$2:$E$200,MATCH($A37,Items!$A$2:$A$200,0)),0)</f>
        <v>3.9</v>
      </c>
      <c r="I37" s="36">
        <f>E37*H37</f>
        <v>0</v>
      </c>
      <c r="J37" s="31" t="n"/>
      <c r="K37" s="37" t="n">
        <v>46295</v>
      </c>
    </row>
    <row r="38" ht="18" customHeight="1">
      <c r="A38" s="31" t="inlineStr">
        <is>
          <t>MCC-10231</t>
        </is>
      </c>
      <c r="B38" s="32" t="str">
        <f>IFERROR(INDEX(Items!$B$2:$B$200,MATCH($A38,Items!$A$2:$A$200,0)),"SKU not found")</f>
        <v>Cold brew pack, 6 x 355 ml</v>
      </c>
      <c r="C38" s="33" t="n">
        <v>125</v>
      </c>
      <c r="D38" s="33" t="n">
        <v>125</v>
      </c>
      <c r="E38" s="34">
        <f>D38-C38</f>
        <v>0</v>
      </c>
      <c r="F38" s="35" t="str">
        <f>IF(E38=0,"OK","Check")</f>
        <v>OK</v>
      </c>
      <c r="G38" s="32" t="str">
        <f>IFERROR(INDEX(Items!$D$2:$D$200,MATCH($A38,Items!$A$2:$A$200,0)),"SKU not found")</f>
        <v>D-03-01</v>
      </c>
      <c r="H38" s="36">
        <f>IFERROR(INDEX(Items!$E$2:$E$200,MATCH($A38,Items!$A$2:$A$200,0)),0)</f>
        <v>11.8</v>
      </c>
      <c r="I38" s="36">
        <f>E38*H38</f>
        <v>0</v>
      </c>
      <c r="J38" s="31" t="n"/>
      <c r="K38" s="37" t="n">
        <v>46295</v>
      </c>
    </row>
    <row r="39" ht="18" customHeight="1">
      <c r="A39" s="31" t="inlineStr">
        <is>
          <t>MCC-10248</t>
        </is>
      </c>
      <c r="B39" s="32" t="str">
        <f>IFERROR(INDEX(Items!$B$2:$B$200,MATCH($A39,Items!$A$2:$A$200,0)),"SKU not found")</f>
        <v>Pour-over filters, 100 ct</v>
      </c>
      <c r="C39" s="33" t="n">
        <v>125</v>
      </c>
      <c r="D39" s="33" t="n">
        <v>121</v>
      </c>
      <c r="E39" s="34">
        <f>D39-C39</f>
        <v>-4</v>
      </c>
      <c r="F39" s="35" t="str">
        <f>IF(E39=0,"OK","Check")</f>
        <v>Check</v>
      </c>
      <c r="G39" s="32" t="str">
        <f>IFERROR(INDEX(Items!$D$2:$D$200,MATCH($A39,Items!$A$2:$A$200,0)),"SKU not found")</f>
        <v>D-03-02</v>
      </c>
      <c r="H39" s="36">
        <f>IFERROR(INDEX(Items!$E$2:$E$200,MATCH($A39,Items!$A$2:$A$200,0)),0)</f>
        <v>3.25</v>
      </c>
      <c r="I39" s="36">
        <f>E39*H39</f>
        <v>-13</v>
      </c>
      <c r="J39" s="31" t="inlineStr">
        <is>
          <t>Theft or loss</t>
        </is>
      </c>
      <c r="K39" s="37" t="n">
        <v>46295</v>
      </c>
    </row>
    <row r="40" ht="18" customHeight="1">
      <c r="A40" s="31" t="inlineStr">
        <is>
          <t>MCC-10265</t>
        </is>
      </c>
      <c r="B40" s="32" t="str">
        <f>IFERROR(INDEX(Items!$B$2:$B$200,MATCH($A40,Items!$A$2:$A$200,0)),"SKU not found")</f>
        <v>Espresso pods, 50 ct</v>
      </c>
      <c r="C40" s="33" t="n">
        <v>24</v>
      </c>
      <c r="D40" s="33" t="n">
        <v>24</v>
      </c>
      <c r="E40" s="34">
        <f>D40-C40</f>
        <v>0</v>
      </c>
      <c r="F40" s="35" t="str">
        <f>IF(E40=0,"OK","Check")</f>
        <v>OK</v>
      </c>
      <c r="G40" s="32" t="str">
        <f>IFERROR(INDEX(Items!$D$2:$D$200,MATCH($A40,Items!$A$2:$A$200,0)),"SKU not found")</f>
        <v>D-03-03</v>
      </c>
      <c r="H40" s="36">
        <f>IFERROR(INDEX(Items!$E$2:$E$200,MATCH($A40,Items!$A$2:$A$200,0)),0)</f>
        <v>21.5</v>
      </c>
      <c r="I40" s="36">
        <f>E40*H40</f>
        <v>0</v>
      </c>
      <c r="J40" s="31" t="n"/>
      <c r="K40" s="37" t="n">
        <v>46295</v>
      </c>
    </row>
    <row r="41" ht="18" customHeight="1">
      <c r="A41" s="31" t="inlineStr">
        <is>
          <t>MCC-10282</t>
        </is>
      </c>
      <c r="B41" s="32" t="str">
        <f>IFERROR(INDEX(Items!$B$2:$B$200,MATCH($A41,Items!$A$2:$A$200,0)),"SKU not found")</f>
        <v>Travel mug, 16 oz, steel</v>
      </c>
      <c r="C41" s="33" t="n">
        <v>45</v>
      </c>
      <c r="D41" s="33" t="n">
        <v>45</v>
      </c>
      <c r="E41" s="34">
        <f>D41-C41</f>
        <v>0</v>
      </c>
      <c r="F41" s="35" t="str">
        <f>IF(E41=0,"OK","Check")</f>
        <v>OK</v>
      </c>
      <c r="G41" s="32" t="str">
        <f>IFERROR(INDEX(Items!$D$2:$D$200,MATCH($A41,Items!$A$2:$A$200,0)),"SKU not found")</f>
        <v>D-04-01</v>
      </c>
      <c r="H41" s="36">
        <f>IFERROR(INDEX(Items!$E$2:$E$200,MATCH($A41,Items!$A$2:$A$200,0)),0)</f>
        <v>9.4</v>
      </c>
      <c r="I41" s="36">
        <f>E41*H41</f>
        <v>0</v>
      </c>
      <c r="J41" s="31" t="n"/>
      <c r="K41" s="37" t="n">
        <v>46295</v>
      </c>
    </row>
  </sheetData>
  <autoFilter ref="A1:K41"/>
  <conditionalFormatting sqref="F2:F41">
    <cfRule type="expression" priority="1" dxfId="0">
      <formula>$F2="Check"</formula>
    </cfRule>
    <cfRule type="expression" priority="2" dxfId="1">
      <formula>$F2="OK"</formula>
    </cfRule>
  </conditionalFormatting>
  <conditionalFormatting sqref="A2:K41">
    <cfRule type="expression" priority="3" dxfId="2">
      <formula>$F2="Check"</formula>
    </cfRule>
  </conditionalFormatting>
  <conditionalFormatting sqref="E2:E41">
    <cfRule type="expression" priority="4" dxfId="3">
      <formula>$E2&lt;&gt;0</formula>
    </cfRule>
  </conditionalFormatting>
  <dataValidations count="2">
    <dataValidation sqref="J2:J101" showDropDown="0" showInputMessage="0" showErrorMessage="0" allowBlank="1" errorTitle="Reason code" error="Pick a reason from the list (edit the list on the Lists sheet)." type="list">
      <formula1>=ReasonCodes</formula1>
    </dataValidation>
    <dataValidation sqref="D2:D101" showDropDown="0" showInputMessage="0" showErrorMessage="0" allowBlank="0" errorTitle="Physical count" error="Enter a whole number, 0 or more." type="whole" operator="greaterThanOrEqual">
      <formula1>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2E86C1"/>
    <outlinePr summaryBelow="1" summaryRight="1"/>
    <pageSetUpPr fitToPage="1"/>
  </sheetPr>
  <dimension ref="A1:L41"/>
  <sheetViews>
    <sheetView tabSelected="0" zoomScale="10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20" customWidth="1" min="3" max="3"/>
    <col width="11" customWidth="1" min="4" max="4"/>
    <col width="12" customWidth="1" min="5" max="5"/>
    <col width="36" customWidth="1" min="6" max="6"/>
    <col width="9" customWidth="1" min="7" max="7"/>
    <col width="10" customWidth="1" min="8" max="8"/>
    <col width="10" customWidth="1" min="9" max="9"/>
    <col width="10" customWidth="1" min="10" max="10"/>
    <col width="13" customWidth="1" min="11" max="11"/>
    <col width="8" customWidth="1" min="12" max="12"/>
  </cols>
  <sheetData>
    <row r="1" ht="30" customHeight="1">
      <c r="A1" s="30" t="inlineStr">
        <is>
          <t>Receipt date</t>
        </is>
      </c>
      <c r="B1" s="30" t="inlineStr">
        <is>
          <t>PO</t>
        </is>
      </c>
      <c r="C1" s="30" t="inlineStr">
        <is>
          <t>Carrier</t>
        </is>
      </c>
      <c r="D1" s="30" t="inlineStr">
        <is>
          <t>BOL</t>
        </is>
      </c>
      <c r="E1" s="30" t="inlineStr">
        <is>
          <t>SKU</t>
        </is>
      </c>
      <c r="F1" s="30" t="inlineStr">
        <is>
          <t>Description</t>
        </is>
      </c>
      <c r="G1" s="30" t="inlineStr">
        <is>
          <t>PO qty</t>
        </is>
      </c>
      <c r="H1" s="30" t="inlineStr">
        <is>
          <t>Packing slip qty</t>
        </is>
      </c>
      <c r="I1" s="30" t="inlineStr">
        <is>
          <t>Qty received</t>
        </is>
      </c>
      <c r="J1" s="30" t="inlineStr">
        <is>
          <t>Variance</t>
        </is>
      </c>
      <c r="K1" s="30" t="inlineStr">
        <is>
          <t>Flag</t>
        </is>
      </c>
      <c r="L1" s="30" t="inlineStr">
        <is>
          <t>Week</t>
        </is>
      </c>
    </row>
    <row r="2" ht="18" customHeight="1">
      <c r="A2" s="37" t="n">
        <v>46266</v>
      </c>
      <c r="B2" s="31" t="inlineStr">
        <is>
          <t>PO 48210</t>
        </is>
      </c>
      <c r="C2" s="31" t="inlineStr">
        <is>
          <t>Purolator Freight</t>
        </is>
      </c>
      <c r="D2" s="31" t="inlineStr">
        <is>
          <t>3723718</t>
        </is>
      </c>
      <c r="E2" s="31" t="inlineStr">
        <is>
          <t>KWA-10188</t>
        </is>
      </c>
      <c r="F2" s="32" t="str">
        <f>IFERROR(INDEX(Items!$B$2:$B$200,MATCH($E2,Items!$A$2:$A$200,0)),"SKU not found")</f>
        <v>Rain shell jacket, black, M (case of 6)</v>
      </c>
      <c r="G2" s="33" t="n">
        <v>56</v>
      </c>
      <c r="H2" s="33" t="n">
        <v>56</v>
      </c>
      <c r="I2" s="33" t="n">
        <v>56</v>
      </c>
      <c r="J2" s="34">
        <f>I2-H2</f>
        <v>0</v>
      </c>
      <c r="K2" s="35" t="str">
        <f>IF(J2&lt;0,"Short",IF(J2&gt;0,"Over",IF(H2&lt;&gt;G2,"PO mismatch","OK")))</f>
        <v>OK</v>
      </c>
      <c r="L2" s="35" t="str">
        <f>"Wk "&amp;TEXT(WEEKNUM(A2,2),"00")</f>
        <v>Wk 36</v>
      </c>
    </row>
    <row r="3" ht="18" customHeight="1">
      <c r="A3" s="37" t="n">
        <v>46266</v>
      </c>
      <c r="B3" s="31" t="inlineStr">
        <is>
          <t>PO 48210</t>
        </is>
      </c>
      <c r="C3" s="31" t="inlineStr">
        <is>
          <t>Purolator Freight</t>
        </is>
      </c>
      <c r="D3" s="31" t="inlineStr">
        <is>
          <t>3387367</t>
        </is>
      </c>
      <c r="E3" s="31" t="inlineStr">
        <is>
          <t>KWA-10137</t>
        </is>
      </c>
      <c r="F3" s="32" t="str">
        <f>IFERROR(INDEX(Items!$B$2:$B$200,MATCH($E3,Items!$A$2:$A$200,0)),"SKU not found")</f>
        <v>Crew neck tee, white, L (case of 24)</v>
      </c>
      <c r="G3" s="33" t="n">
        <v>40</v>
      </c>
      <c r="H3" s="33" t="n">
        <v>40</v>
      </c>
      <c r="I3" s="33" t="n">
        <v>40</v>
      </c>
      <c r="J3" s="34">
        <f>I3-H3</f>
        <v>0</v>
      </c>
      <c r="K3" s="35" t="str">
        <f>IF(J3&lt;0,"Short",IF(J3&gt;0,"Over",IF(H3&lt;&gt;G3,"PO mismatch","OK")))</f>
        <v>OK</v>
      </c>
      <c r="L3" s="35" t="str">
        <f>"Wk "&amp;TEXT(WEEKNUM(A3,2),"00")</f>
        <v>Wk 36</v>
      </c>
    </row>
    <row r="4" ht="18" customHeight="1">
      <c r="A4" s="37" t="n">
        <v>46267</v>
      </c>
      <c r="B4" s="31" t="inlineStr">
        <is>
          <t>PO 48219</t>
        </is>
      </c>
      <c r="C4" s="31" t="inlineStr">
        <is>
          <t>UPS Freight</t>
        </is>
      </c>
      <c r="D4" s="31" t="inlineStr">
        <is>
          <t>3559955</t>
        </is>
      </c>
      <c r="E4" s="31" t="inlineStr">
        <is>
          <t>NPS-10211</t>
        </is>
      </c>
      <c r="F4" s="32" t="str">
        <f>IFERROR(INDEX(Items!$B$2:$B$200,MATCH($E4,Items!$A$2:$A$200,0)),"SKU not found")</f>
        <v>Stainless dog bowl, large</v>
      </c>
      <c r="G4" s="33" t="n">
        <v>230</v>
      </c>
      <c r="H4" s="33" t="n">
        <v>230</v>
      </c>
      <c r="I4" s="33" t="n">
        <v>230</v>
      </c>
      <c r="J4" s="34">
        <f>I4-H4</f>
        <v>0</v>
      </c>
      <c r="K4" s="35" t="str">
        <f>IF(J4&lt;0,"Short",IF(J4&gt;0,"Over",IF(H4&lt;&gt;G4,"PO mismatch","OK")))</f>
        <v>OK</v>
      </c>
      <c r="L4" s="35" t="str">
        <f>"Wk "&amp;TEXT(WEEKNUM(A4,2),"00")</f>
        <v>Wk 36</v>
      </c>
    </row>
    <row r="5" ht="18" customHeight="1">
      <c r="A5" s="37" t="n">
        <v>46267</v>
      </c>
      <c r="B5" s="31" t="inlineStr">
        <is>
          <t>PO 48219</t>
        </is>
      </c>
      <c r="C5" s="31" t="inlineStr">
        <is>
          <t>Purolator Freight</t>
        </is>
      </c>
      <c r="D5" s="31" t="inlineStr">
        <is>
          <t>3706895</t>
        </is>
      </c>
      <c r="E5" s="31" t="inlineStr">
        <is>
          <t>KWA-10222</t>
        </is>
      </c>
      <c r="F5" s="32" t="str">
        <f>IFERROR(INDEX(Items!$B$2:$B$200,MATCH($E5,Items!$A$2:$A$200,0)),"SKU not found")</f>
        <v>Cargo pant, olive, 32x32 (case of 12)</v>
      </c>
      <c r="G5" s="33" t="n">
        <v>88</v>
      </c>
      <c r="H5" s="33" t="n">
        <v>88</v>
      </c>
      <c r="I5" s="33" t="n">
        <v>86</v>
      </c>
      <c r="J5" s="34">
        <f>I5-H5</f>
        <v>-2</v>
      </c>
      <c r="K5" s="35" t="str">
        <f>IF(J5&lt;0,"Short",IF(J5&gt;0,"Over",IF(H5&lt;&gt;G5,"PO mismatch","OK")))</f>
        <v>Short</v>
      </c>
      <c r="L5" s="35" t="str">
        <f>"Wk "&amp;TEXT(WEEKNUM(A5,2),"00")</f>
        <v>Wk 36</v>
      </c>
    </row>
    <row r="6" ht="18" customHeight="1">
      <c r="A6" s="37" t="n">
        <v>46268</v>
      </c>
      <c r="B6" s="31" t="inlineStr">
        <is>
          <t>PO 48227</t>
        </is>
      </c>
      <c r="C6" s="31" t="inlineStr">
        <is>
          <t>Purolator Freight</t>
        </is>
      </c>
      <c r="D6" s="31" t="inlineStr">
        <is>
          <t>3883290</t>
        </is>
      </c>
      <c r="E6" s="31" t="inlineStr">
        <is>
          <t>LHG-10140</t>
        </is>
      </c>
      <c r="F6" s="32" t="str">
        <f>IFERROR(INDEX(Items!$B$2:$B$200,MATCH($E6,Items!$A$2:$A$200,0)),"SKU not found")</f>
        <v>Glass tumbler, 12 oz, set of 6</v>
      </c>
      <c r="G6" s="33" t="n">
        <v>190</v>
      </c>
      <c r="H6" s="33" t="n">
        <v>190</v>
      </c>
      <c r="I6" s="33" t="n">
        <v>190</v>
      </c>
      <c r="J6" s="34">
        <f>I6-H6</f>
        <v>0</v>
      </c>
      <c r="K6" s="35" t="str">
        <f>IF(J6&lt;0,"Short",IF(J6&gt;0,"Over",IF(H6&lt;&gt;G6,"PO mismatch","OK")))</f>
        <v>OK</v>
      </c>
      <c r="L6" s="35" t="str">
        <f>"Wk "&amp;TEXT(WEEKNUM(A6,2),"00")</f>
        <v>Wk 36</v>
      </c>
    </row>
    <row r="7" ht="18" customHeight="1">
      <c r="A7" s="37" t="n">
        <v>46268</v>
      </c>
      <c r="B7" s="31" t="inlineStr">
        <is>
          <t>PO 48227</t>
        </is>
      </c>
      <c r="C7" s="31" t="inlineStr">
        <is>
          <t>Day &amp; Ross</t>
        </is>
      </c>
      <c r="D7" s="31" t="inlineStr">
        <is>
          <t>3383986</t>
        </is>
      </c>
      <c r="E7" s="31" t="inlineStr">
        <is>
          <t>MCC-10163</t>
        </is>
      </c>
      <c r="F7" s="32" t="str">
        <f>IFERROR(INDEX(Items!$B$2:$B$200,MATCH($E7,Items!$A$2:$A$200,0)),"SKU not found")</f>
        <v>Ground, medium roast, 340 g</v>
      </c>
      <c r="G7" s="33" t="n">
        <v>180</v>
      </c>
      <c r="H7" s="33" t="n">
        <v>180</v>
      </c>
      <c r="I7" s="33" t="n">
        <v>180</v>
      </c>
      <c r="J7" s="34">
        <f>I7-H7</f>
        <v>0</v>
      </c>
      <c r="K7" s="35" t="str">
        <f>IF(J7&lt;0,"Short",IF(J7&gt;0,"Over",IF(H7&lt;&gt;G7,"PO mismatch","OK")))</f>
        <v>OK</v>
      </c>
      <c r="L7" s="35" t="str">
        <f>"Wk "&amp;TEXT(WEEKNUM(A7,2),"00")</f>
        <v>Wk 36</v>
      </c>
    </row>
    <row r="8" ht="18" customHeight="1">
      <c r="A8" s="37" t="n">
        <v>46269</v>
      </c>
      <c r="B8" s="31" t="inlineStr">
        <is>
          <t>PO 48233</t>
        </is>
      </c>
      <c r="C8" s="31" t="inlineStr">
        <is>
          <t>Manitoulin Transport</t>
        </is>
      </c>
      <c r="D8" s="31" t="inlineStr">
        <is>
          <t>3624791</t>
        </is>
      </c>
      <c r="E8" s="31" t="inlineStr">
        <is>
          <t>MCC-10146</t>
        </is>
      </c>
      <c r="F8" s="32" t="str">
        <f>IFERROR(INDEX(Items!$B$2:$B$200,MATCH($E8,Items!$A$2:$A$200,0)),"SKU not found")</f>
        <v>Whole bean, dark roast, 1 kg</v>
      </c>
      <c r="G8" s="33" t="n">
        <v>48</v>
      </c>
      <c r="H8" s="33" t="n">
        <v>48</v>
      </c>
      <c r="I8" s="33" t="n">
        <v>48</v>
      </c>
      <c r="J8" s="34">
        <f>I8-H8</f>
        <v>0</v>
      </c>
      <c r="K8" s="35" t="str">
        <f>IF(J8&lt;0,"Short",IF(J8&gt;0,"Over",IF(H8&lt;&gt;G8,"PO mismatch","OK")))</f>
        <v>OK</v>
      </c>
      <c r="L8" s="35" t="str">
        <f>"Wk "&amp;TEXT(WEEKNUM(A8,2),"00")</f>
        <v>Wk 36</v>
      </c>
    </row>
    <row r="9" ht="18" customHeight="1">
      <c r="A9" s="37" t="n">
        <v>46269</v>
      </c>
      <c r="B9" s="31" t="inlineStr">
        <is>
          <t>PO 48237</t>
        </is>
      </c>
      <c r="C9" s="31" t="inlineStr">
        <is>
          <t>Purolator Freight</t>
        </is>
      </c>
      <c r="D9" s="31" t="inlineStr">
        <is>
          <t>3392166</t>
        </is>
      </c>
      <c r="E9" s="31" t="inlineStr">
        <is>
          <t>KWA-10239</t>
        </is>
      </c>
      <c r="F9" s="32" t="str">
        <f>IFERROR(INDEX(Items!$B$2:$B$200,MATCH($E9,Items!$A$2:$A$200,0)),"SKU not found")</f>
        <v>Athletic sock, 6 pk (case of 24)</v>
      </c>
      <c r="G9" s="33" t="n">
        <v>48</v>
      </c>
      <c r="H9" s="33" t="n">
        <v>48</v>
      </c>
      <c r="I9" s="33" t="n">
        <v>48</v>
      </c>
      <c r="J9" s="34">
        <f>I9-H9</f>
        <v>0</v>
      </c>
      <c r="K9" s="35" t="str">
        <f>IF(J9&lt;0,"Short",IF(J9&gt;0,"Over",IF(H9&lt;&gt;G9,"PO mismatch","OK")))</f>
        <v>OK</v>
      </c>
      <c r="L9" s="35" t="str">
        <f>"Wk "&amp;TEXT(WEEKNUM(A9,2),"00")</f>
        <v>Wk 36</v>
      </c>
    </row>
    <row r="10" ht="18" customHeight="1">
      <c r="A10" s="37" t="n">
        <v>46272</v>
      </c>
      <c r="B10" s="31" t="inlineStr">
        <is>
          <t>PO 48241</t>
        </is>
      </c>
      <c r="C10" s="31" t="inlineStr">
        <is>
          <t>Day &amp; Ross</t>
        </is>
      </c>
      <c r="D10" s="31" t="inlineStr">
        <is>
          <t>3876304</t>
        </is>
      </c>
      <c r="E10" s="31" t="inlineStr">
        <is>
          <t>KWA-10137</t>
        </is>
      </c>
      <c r="F10" s="32" t="str">
        <f>IFERROR(INDEX(Items!$B$2:$B$200,MATCH($E10,Items!$A$2:$A$200,0)),"SKU not found")</f>
        <v>Crew neck tee, white, L (case of 24)</v>
      </c>
      <c r="G10" s="33" t="n">
        <v>68</v>
      </c>
      <c r="H10" s="33" t="n">
        <v>68</v>
      </c>
      <c r="I10" s="33" t="n">
        <v>68</v>
      </c>
      <c r="J10" s="34">
        <f>I10-H10</f>
        <v>0</v>
      </c>
      <c r="K10" s="35" t="str">
        <f>IF(J10&lt;0,"Short",IF(J10&gt;0,"Over",IF(H10&lt;&gt;G10,"PO mismatch","OK")))</f>
        <v>OK</v>
      </c>
      <c r="L10" s="35" t="str">
        <f>"Wk "&amp;TEXT(WEEKNUM(A10,2),"00")</f>
        <v>Wk 37</v>
      </c>
    </row>
    <row r="11" ht="18" customHeight="1">
      <c r="A11" s="37" t="n">
        <v>46272</v>
      </c>
      <c r="B11" s="31" t="inlineStr">
        <is>
          <t>PO 48241</t>
        </is>
      </c>
      <c r="C11" s="31" t="inlineStr">
        <is>
          <t>UPS Freight</t>
        </is>
      </c>
      <c r="D11" s="31" t="inlineStr">
        <is>
          <t>3714406</t>
        </is>
      </c>
      <c r="E11" s="31" t="inlineStr">
        <is>
          <t>KWA-10239</t>
        </is>
      </c>
      <c r="F11" s="32" t="str">
        <f>IFERROR(INDEX(Items!$B$2:$B$200,MATCH($E11,Items!$A$2:$A$200,0)),"SKU not found")</f>
        <v>Athletic sock, 6 pk (case of 24)</v>
      </c>
      <c r="G11" s="33" t="n">
        <v>24</v>
      </c>
      <c r="H11" s="33" t="n">
        <v>24</v>
      </c>
      <c r="I11" s="33" t="n">
        <v>25</v>
      </c>
      <c r="J11" s="34">
        <f>I11-H11</f>
        <v>1</v>
      </c>
      <c r="K11" s="35" t="str">
        <f>IF(J11&lt;0,"Short",IF(J11&gt;0,"Over",IF(H11&lt;&gt;G11,"PO mismatch","OK")))</f>
        <v>Over</v>
      </c>
      <c r="L11" s="35" t="str">
        <f>"Wk "&amp;TEXT(WEEKNUM(A11,2),"00")</f>
        <v>Wk 37</v>
      </c>
    </row>
    <row r="12" ht="18" customHeight="1">
      <c r="A12" s="37" t="n">
        <v>46273</v>
      </c>
      <c r="B12" s="31" t="inlineStr">
        <is>
          <t>PO 48250</t>
        </is>
      </c>
      <c r="C12" s="31" t="inlineStr">
        <is>
          <t>Day &amp; Ross</t>
        </is>
      </c>
      <c r="D12" s="31" t="inlineStr">
        <is>
          <t>3660831</t>
        </is>
      </c>
      <c r="E12" s="31" t="inlineStr">
        <is>
          <t>MCC-10129</t>
        </is>
      </c>
      <c r="F12" s="32" t="str">
        <f>IFERROR(INDEX(Items!$B$2:$B$200,MATCH($E12,Items!$A$2:$A$200,0)),"SKU not found")</f>
        <v>Whole bean, house blend, 1 kg</v>
      </c>
      <c r="G12" s="33" t="n">
        <v>64</v>
      </c>
      <c r="H12" s="33" t="n">
        <v>64</v>
      </c>
      <c r="I12" s="33" t="n">
        <v>64</v>
      </c>
      <c r="J12" s="34">
        <f>I12-H12</f>
        <v>0</v>
      </c>
      <c r="K12" s="35" t="str">
        <f>IF(J12&lt;0,"Short",IF(J12&gt;0,"Over",IF(H12&lt;&gt;G12,"PO mismatch","OK")))</f>
        <v>OK</v>
      </c>
      <c r="L12" s="35" t="str">
        <f>"Wk "&amp;TEXT(WEEKNUM(A12,2),"00")</f>
        <v>Wk 37</v>
      </c>
    </row>
    <row r="13" ht="18" customHeight="1">
      <c r="A13" s="37" t="n">
        <v>46273</v>
      </c>
      <c r="B13" s="31" t="inlineStr">
        <is>
          <t>PO 48250</t>
        </is>
      </c>
      <c r="C13" s="31" t="inlineStr">
        <is>
          <t>Manitoulin Transport</t>
        </is>
      </c>
      <c r="D13" s="31" t="inlineStr">
        <is>
          <t>3608424</t>
        </is>
      </c>
      <c r="E13" s="31" t="inlineStr">
        <is>
          <t>NPS-10279</t>
        </is>
      </c>
      <c r="F13" s="32" t="str">
        <f>IFERROR(INDEX(Items!$B$2:$B$200,MATCH($E13,Items!$A$2:$A$200,0)),"SKU not found")</f>
        <v>Bird seed mix, 4.5 kg</v>
      </c>
      <c r="G13" s="33" t="n">
        <v>180</v>
      </c>
      <c r="H13" s="33" t="n">
        <v>180</v>
      </c>
      <c r="I13" s="33" t="n">
        <v>180</v>
      </c>
      <c r="J13" s="34">
        <f>I13-H13</f>
        <v>0</v>
      </c>
      <c r="K13" s="35" t="str">
        <f>IF(J13&lt;0,"Short",IF(J13&gt;0,"Over",IF(H13&lt;&gt;G13,"PO mismatch","OK")))</f>
        <v>OK</v>
      </c>
      <c r="L13" s="35" t="str">
        <f>"Wk "&amp;TEXT(WEEKNUM(A13,2),"00")</f>
        <v>Wk 37</v>
      </c>
    </row>
    <row r="14" ht="18" customHeight="1">
      <c r="A14" s="37" t="n">
        <v>46274</v>
      </c>
      <c r="B14" s="31" t="inlineStr">
        <is>
          <t>PO 48259</t>
        </is>
      </c>
      <c r="C14" s="31" t="inlineStr">
        <is>
          <t>UPS Freight</t>
        </is>
      </c>
      <c r="D14" s="31" t="inlineStr">
        <is>
          <t>3966844</t>
        </is>
      </c>
      <c r="E14" s="31" t="inlineStr">
        <is>
          <t>NPS-10228</t>
        </is>
      </c>
      <c r="F14" s="32" t="str">
        <f>IFERROR(INDEX(Items!$B$2:$B$200,MATCH($E14,Items!$A$2:$A$200,0)),"SKU not found")</f>
        <v>Cat scratching post, 32 in</v>
      </c>
      <c r="G14" s="33" t="n">
        <v>28</v>
      </c>
      <c r="H14" s="33" t="n">
        <v>28</v>
      </c>
      <c r="I14" s="33" t="n">
        <v>28</v>
      </c>
      <c r="J14" s="34">
        <f>I14-H14</f>
        <v>0</v>
      </c>
      <c r="K14" s="35" t="str">
        <f>IF(J14&lt;0,"Short",IF(J14&gt;0,"Over",IF(H14&lt;&gt;G14,"PO mismatch","OK")))</f>
        <v>OK</v>
      </c>
      <c r="L14" s="35" t="str">
        <f>"Wk "&amp;TEXT(WEEKNUM(A14,2),"00")</f>
        <v>Wk 37</v>
      </c>
    </row>
    <row r="15" ht="18" customHeight="1">
      <c r="A15" s="37" t="n">
        <v>46274</v>
      </c>
      <c r="B15" s="31" t="inlineStr">
        <is>
          <t>PO 48259</t>
        </is>
      </c>
      <c r="C15" s="31" t="inlineStr">
        <is>
          <t>Canpar</t>
        </is>
      </c>
      <c r="D15" s="31" t="inlineStr">
        <is>
          <t>3513220</t>
        </is>
      </c>
      <c r="E15" s="31" t="inlineStr">
        <is>
          <t>LHG-10225</t>
        </is>
      </c>
      <c r="F15" s="32" t="str">
        <f>IFERROR(INDEX(Items!$B$2:$B$200,MATCH($E15,Items!$A$2:$A$200,0)),"SKU not found")</f>
        <v>Throw pillow cover, linen, 18 in</v>
      </c>
      <c r="G15" s="33" t="n">
        <v>110</v>
      </c>
      <c r="H15" s="33" t="n">
        <v>110</v>
      </c>
      <c r="I15" s="33" t="n">
        <v>110</v>
      </c>
      <c r="J15" s="34">
        <f>I15-H15</f>
        <v>0</v>
      </c>
      <c r="K15" s="35" t="str">
        <f>IF(J15&lt;0,"Short",IF(J15&gt;0,"Over",IF(H15&lt;&gt;G15,"PO mismatch","OK")))</f>
        <v>OK</v>
      </c>
      <c r="L15" s="35" t="str">
        <f>"Wk "&amp;TEXT(WEEKNUM(A15,2),"00")</f>
        <v>Wk 37</v>
      </c>
    </row>
    <row r="16" ht="18" customHeight="1">
      <c r="A16" s="37" t="n">
        <v>46275</v>
      </c>
      <c r="B16" s="31" t="inlineStr">
        <is>
          <t>PO 48269</t>
        </is>
      </c>
      <c r="C16" s="31" t="inlineStr">
        <is>
          <t>Canpar</t>
        </is>
      </c>
      <c r="D16" s="31" t="inlineStr">
        <is>
          <t>3169676</t>
        </is>
      </c>
      <c r="E16" s="31" t="inlineStr">
        <is>
          <t>MCC-10282</t>
        </is>
      </c>
      <c r="F16" s="32" t="str">
        <f>IFERROR(INDEX(Items!$B$2:$B$200,MATCH($E16,Items!$A$2:$A$200,0)),"SKU not found")</f>
        <v>Travel mug, 16 oz, steel</v>
      </c>
      <c r="G16" s="33" t="n">
        <v>220</v>
      </c>
      <c r="H16" s="33" t="n">
        <v>220</v>
      </c>
      <c r="I16" s="33" t="n">
        <v>214</v>
      </c>
      <c r="J16" s="34">
        <f>I16-H16</f>
        <v>-6</v>
      </c>
      <c r="K16" s="35" t="str">
        <f>IF(J16&lt;0,"Short",IF(J16&gt;0,"Over",IF(H16&lt;&gt;G16,"PO mismatch","OK")))</f>
        <v>Short</v>
      </c>
      <c r="L16" s="35" t="str">
        <f>"Wk "&amp;TEXT(WEEKNUM(A16,2),"00")</f>
        <v>Wk 37</v>
      </c>
    </row>
    <row r="17" ht="18" customHeight="1">
      <c r="A17" s="37" t="n">
        <v>46275</v>
      </c>
      <c r="B17" s="31" t="inlineStr">
        <is>
          <t>PO 48269</t>
        </is>
      </c>
      <c r="C17" s="31" t="inlineStr">
        <is>
          <t>Canpar</t>
        </is>
      </c>
      <c r="D17" s="31" t="inlineStr">
        <is>
          <t>3837642</t>
        </is>
      </c>
      <c r="E17" s="31" t="inlineStr">
        <is>
          <t>KWA-10273</t>
        </is>
      </c>
      <c r="F17" s="32" t="str">
        <f>IFERROR(INDEX(Items!$B$2:$B$200,MATCH($E17,Items!$A$2:$A$200,0)),"SKU not found")</f>
        <v>Zip fleece vest, navy, M (case of 12)</v>
      </c>
      <c r="G17" s="33" t="n">
        <v>48</v>
      </c>
      <c r="H17" s="33" t="n">
        <v>48</v>
      </c>
      <c r="I17" s="33" t="n">
        <v>48</v>
      </c>
      <c r="J17" s="34">
        <f>I17-H17</f>
        <v>0</v>
      </c>
      <c r="K17" s="35" t="str">
        <f>IF(J17&lt;0,"Short",IF(J17&gt;0,"Over",IF(H17&lt;&gt;G17,"PO mismatch","OK")))</f>
        <v>OK</v>
      </c>
      <c r="L17" s="35" t="str">
        <f>"Wk "&amp;TEXT(WEEKNUM(A17,2),"00")</f>
        <v>Wk 37</v>
      </c>
    </row>
    <row r="18" ht="18" customHeight="1">
      <c r="A18" s="37" t="n">
        <v>46276</v>
      </c>
      <c r="B18" s="31" t="inlineStr">
        <is>
          <t>PO 48279</t>
        </is>
      </c>
      <c r="C18" s="31" t="inlineStr">
        <is>
          <t>Canpar</t>
        </is>
      </c>
      <c r="D18" s="31" t="inlineStr">
        <is>
          <t>3543663</t>
        </is>
      </c>
      <c r="E18" s="31" t="inlineStr">
        <is>
          <t>KWA-10137</t>
        </is>
      </c>
      <c r="F18" s="32" t="str">
        <f>IFERROR(INDEX(Items!$B$2:$B$200,MATCH($E18,Items!$A$2:$A$200,0)),"SKU not found")</f>
        <v>Crew neck tee, white, L (case of 24)</v>
      </c>
      <c r="G18" s="33" t="n">
        <v>16</v>
      </c>
      <c r="H18" s="33" t="n">
        <v>16</v>
      </c>
      <c r="I18" s="33" t="n">
        <v>16</v>
      </c>
      <c r="J18" s="34">
        <f>I18-H18</f>
        <v>0</v>
      </c>
      <c r="K18" s="35" t="str">
        <f>IF(J18&lt;0,"Short",IF(J18&gt;0,"Over",IF(H18&lt;&gt;G18,"PO mismatch","OK")))</f>
        <v>OK</v>
      </c>
      <c r="L18" s="35" t="str">
        <f>"Wk "&amp;TEXT(WEEKNUM(A18,2),"00")</f>
        <v>Wk 37</v>
      </c>
    </row>
    <row r="19" ht="18" customHeight="1">
      <c r="A19" s="37" t="n">
        <v>46276</v>
      </c>
      <c r="B19" s="31" t="inlineStr">
        <is>
          <t>PO 48279</t>
        </is>
      </c>
      <c r="C19" s="31" t="inlineStr">
        <is>
          <t>UPS Freight</t>
        </is>
      </c>
      <c r="D19" s="31" t="inlineStr">
        <is>
          <t>3485825</t>
        </is>
      </c>
      <c r="E19" s="31" t="inlineStr">
        <is>
          <t>NPS-10160</t>
        </is>
      </c>
      <c r="F19" s="32" t="str">
        <f>IFERROR(INDEX(Items!$B$2:$B$200,MATCH($E19,Items!$A$2:$A$200,0)),"SKU not found")</f>
        <v>Clumping cat litter, 18 kg</v>
      </c>
      <c r="G19" s="33" t="n">
        <v>190</v>
      </c>
      <c r="H19" s="33" t="n">
        <v>190</v>
      </c>
      <c r="I19" s="33" t="n">
        <v>190</v>
      </c>
      <c r="J19" s="34">
        <f>I19-H19</f>
        <v>0</v>
      </c>
      <c r="K19" s="35" t="str">
        <f>IF(J19&lt;0,"Short",IF(J19&gt;0,"Over",IF(H19&lt;&gt;G19,"PO mismatch","OK")))</f>
        <v>OK</v>
      </c>
      <c r="L19" s="35" t="str">
        <f>"Wk "&amp;TEXT(WEEKNUM(A19,2),"00")</f>
        <v>Wk 37</v>
      </c>
    </row>
    <row r="20" ht="18" customHeight="1">
      <c r="A20" s="37" t="n">
        <v>46279</v>
      </c>
      <c r="B20" s="31" t="inlineStr">
        <is>
          <t>PO 48286</t>
        </is>
      </c>
      <c r="C20" s="31" t="inlineStr">
        <is>
          <t>Manitoulin Transport</t>
        </is>
      </c>
      <c r="D20" s="31" t="inlineStr">
        <is>
          <t>3655825</t>
        </is>
      </c>
      <c r="E20" s="31" t="inlineStr">
        <is>
          <t>NPS-10160</t>
        </is>
      </c>
      <c r="F20" s="32" t="str">
        <f>IFERROR(INDEX(Items!$B$2:$B$200,MATCH($E20,Items!$A$2:$A$200,0)),"SKU not found")</f>
        <v>Clumping cat litter, 18 kg</v>
      </c>
      <c r="G20" s="33" t="n">
        <v>100</v>
      </c>
      <c r="H20" s="33" t="n">
        <v>88</v>
      </c>
      <c r="I20" s="33" t="n">
        <v>88</v>
      </c>
      <c r="J20" s="34">
        <f>I20-H20</f>
        <v>0</v>
      </c>
      <c r="K20" s="35" t="str">
        <f>IF(J20&lt;0,"Short",IF(J20&gt;0,"Over",IF(H20&lt;&gt;G20,"PO mismatch","OK")))</f>
        <v>PO mismatch</v>
      </c>
      <c r="L20" s="35" t="str">
        <f>"Wk "&amp;TEXT(WEEKNUM(A20,2),"00")</f>
        <v>Wk 38</v>
      </c>
    </row>
    <row r="21" ht="18" customHeight="1">
      <c r="A21" s="37" t="n">
        <v>46279</v>
      </c>
      <c r="B21" s="31" t="inlineStr">
        <is>
          <t>PO 48286</t>
        </is>
      </c>
      <c r="C21" s="31" t="inlineStr">
        <is>
          <t>UPS Freight</t>
        </is>
      </c>
      <c r="D21" s="31" t="inlineStr">
        <is>
          <t>3592052</t>
        </is>
      </c>
      <c r="E21" s="31" t="inlineStr">
        <is>
          <t>KWA-10154</t>
        </is>
      </c>
      <c r="F21" s="32" t="str">
        <f>IFERROR(INDEX(Items!$B$2:$B$200,MATCH($E21,Items!$A$2:$A$200,0)),"SKU not found")</f>
        <v>Fleece hoodie, charcoal, M (case of 12)</v>
      </c>
      <c r="G21" s="33" t="n">
        <v>48</v>
      </c>
      <c r="H21" s="33" t="n">
        <v>48</v>
      </c>
      <c r="I21" s="33" t="n">
        <v>48</v>
      </c>
      <c r="J21" s="34">
        <f>I21-H21</f>
        <v>0</v>
      </c>
      <c r="K21" s="35" t="str">
        <f>IF(J21&lt;0,"Short",IF(J21&gt;0,"Over",IF(H21&lt;&gt;G21,"PO mismatch","OK")))</f>
        <v>OK</v>
      </c>
      <c r="L21" s="35" t="str">
        <f>"Wk "&amp;TEXT(WEEKNUM(A21,2),"00")</f>
        <v>Wk 38</v>
      </c>
    </row>
    <row r="22" ht="18" customHeight="1">
      <c r="A22" s="37" t="n">
        <v>46280</v>
      </c>
      <c r="B22" s="31" t="inlineStr">
        <is>
          <t>PO 48290</t>
        </is>
      </c>
      <c r="C22" s="31" t="inlineStr">
        <is>
          <t>Purolator Freight</t>
        </is>
      </c>
      <c r="D22" s="31" t="inlineStr">
        <is>
          <t>3136468</t>
        </is>
      </c>
      <c r="E22" s="31" t="inlineStr">
        <is>
          <t>NPS-10194</t>
        </is>
      </c>
      <c r="F22" s="32" t="str">
        <f>IFERROR(INDEX(Items!$B$2:$B$200,MATCH($E22,Items!$A$2:$A$200,0)),"SKU not found")</f>
        <v>Rawhide-free chew, 10 pk</v>
      </c>
      <c r="G22" s="33" t="n">
        <v>100</v>
      </c>
      <c r="H22" s="33" t="n">
        <v>100</v>
      </c>
      <c r="I22" s="33" t="n">
        <v>100</v>
      </c>
      <c r="J22" s="34">
        <f>I22-H22</f>
        <v>0</v>
      </c>
      <c r="K22" s="35" t="str">
        <f>IF(J22&lt;0,"Short",IF(J22&gt;0,"Over",IF(H22&lt;&gt;G22,"PO mismatch","OK")))</f>
        <v>OK</v>
      </c>
      <c r="L22" s="35" t="str">
        <f>"Wk "&amp;TEXT(WEEKNUM(A22,2),"00")</f>
        <v>Wk 38</v>
      </c>
    </row>
    <row r="23" ht="18" customHeight="1">
      <c r="A23" s="37" t="n">
        <v>46280</v>
      </c>
      <c r="B23" s="31" t="inlineStr">
        <is>
          <t>PO 48297</t>
        </is>
      </c>
      <c r="C23" s="31" t="inlineStr">
        <is>
          <t>Purolator Freight</t>
        </is>
      </c>
      <c r="D23" s="31" t="inlineStr">
        <is>
          <t>3714511</t>
        </is>
      </c>
      <c r="E23" s="31" t="inlineStr">
        <is>
          <t>KWA-10137</t>
        </is>
      </c>
      <c r="F23" s="32" t="str">
        <f>IFERROR(INDEX(Items!$B$2:$B$200,MATCH($E23,Items!$A$2:$A$200,0)),"SKU not found")</f>
        <v>Crew neck tee, white, L (case of 24)</v>
      </c>
      <c r="G23" s="33" t="n">
        <v>80</v>
      </c>
      <c r="H23" s="33" t="n">
        <v>80</v>
      </c>
      <c r="I23" s="33" t="n">
        <v>80</v>
      </c>
      <c r="J23" s="34">
        <f>I23-H23</f>
        <v>0</v>
      </c>
      <c r="K23" s="35" t="str">
        <f>IF(J23&lt;0,"Short",IF(J23&gt;0,"Over",IF(H23&lt;&gt;G23,"PO mismatch","OK")))</f>
        <v>OK</v>
      </c>
      <c r="L23" s="35" t="str">
        <f>"Wk "&amp;TEXT(WEEKNUM(A23,2),"00")</f>
        <v>Wk 38</v>
      </c>
    </row>
    <row r="24" ht="18" customHeight="1">
      <c r="A24" s="37" t="n">
        <v>46281</v>
      </c>
      <c r="B24" s="31" t="inlineStr">
        <is>
          <t>PO 48304</t>
        </is>
      </c>
      <c r="C24" s="31" t="inlineStr">
        <is>
          <t>Manitoulin Transport</t>
        </is>
      </c>
      <c r="D24" s="31" t="inlineStr">
        <is>
          <t>3363753</t>
        </is>
      </c>
      <c r="E24" s="31" t="inlineStr">
        <is>
          <t>MCC-10180</t>
        </is>
      </c>
      <c r="F24" s="32" t="str">
        <f>IFERROR(INDEX(Items!$B$2:$B$200,MATCH($E24,Items!$A$2:$A$200,0)),"SKU not found")</f>
        <v>Decaf whole bean, 1 kg</v>
      </c>
      <c r="G24" s="33" t="n">
        <v>28</v>
      </c>
      <c r="H24" s="33" t="n">
        <v>28</v>
      </c>
      <c r="I24" s="33" t="n">
        <v>28</v>
      </c>
      <c r="J24" s="34">
        <f>I24-H24</f>
        <v>0</v>
      </c>
      <c r="K24" s="35" t="str">
        <f>IF(J24&lt;0,"Short",IF(J24&gt;0,"Over",IF(H24&lt;&gt;G24,"PO mismatch","OK")))</f>
        <v>OK</v>
      </c>
      <c r="L24" s="35" t="str">
        <f>"Wk "&amp;TEXT(WEEKNUM(A24,2),"00")</f>
        <v>Wk 38</v>
      </c>
    </row>
    <row r="25" ht="18" customHeight="1">
      <c r="A25" s="37" t="n">
        <v>46281</v>
      </c>
      <c r="B25" s="31" t="inlineStr">
        <is>
          <t>PO 48304</t>
        </is>
      </c>
      <c r="C25" s="31" t="inlineStr">
        <is>
          <t>Day &amp; Ross</t>
        </is>
      </c>
      <c r="D25" s="31" t="inlineStr">
        <is>
          <t>3912596</t>
        </is>
      </c>
      <c r="E25" s="31" t="inlineStr">
        <is>
          <t>KWA-10154</t>
        </is>
      </c>
      <c r="F25" s="32" t="str">
        <f>IFERROR(INDEX(Items!$B$2:$B$200,MATCH($E25,Items!$A$2:$A$200,0)),"SKU not found")</f>
        <v>Fleece hoodie, charcoal, M (case of 12)</v>
      </c>
      <c r="G25" s="33" t="n">
        <v>40</v>
      </c>
      <c r="H25" s="33" t="n">
        <v>40</v>
      </c>
      <c r="I25" s="33" t="n">
        <v>39</v>
      </c>
      <c r="J25" s="34">
        <f>I25-H25</f>
        <v>-1</v>
      </c>
      <c r="K25" s="35" t="str">
        <f>IF(J25&lt;0,"Short",IF(J25&gt;0,"Over",IF(H25&lt;&gt;G25,"PO mismatch","OK")))</f>
        <v>Short</v>
      </c>
      <c r="L25" s="35" t="str">
        <f>"Wk "&amp;TEXT(WEEKNUM(A25,2),"00")</f>
        <v>Wk 38</v>
      </c>
    </row>
    <row r="26" ht="18" customHeight="1">
      <c r="A26" s="37" t="n">
        <v>46282</v>
      </c>
      <c r="B26" s="31" t="inlineStr">
        <is>
          <t>PO 48307</t>
        </is>
      </c>
      <c r="C26" s="31" t="inlineStr">
        <is>
          <t>Manitoulin Transport</t>
        </is>
      </c>
      <c r="D26" s="31" t="inlineStr">
        <is>
          <t>3624987</t>
        </is>
      </c>
      <c r="E26" s="31" t="inlineStr">
        <is>
          <t>LHG-10191</t>
        </is>
      </c>
      <c r="F26" s="32" t="str">
        <f>IFERROR(INDEX(Items!$B$2:$B$200,MATCH($E26,Items!$A$2:$A$200,0)),"SKU not found")</f>
        <v>Non-stick fry pan, 10 in</v>
      </c>
      <c r="G26" s="33" t="n">
        <v>48</v>
      </c>
      <c r="H26" s="33" t="n">
        <v>48</v>
      </c>
      <c r="I26" s="33" t="n">
        <v>48</v>
      </c>
      <c r="J26" s="34">
        <f>I26-H26</f>
        <v>0</v>
      </c>
      <c r="K26" s="35" t="str">
        <f>IF(J26&lt;0,"Short",IF(J26&gt;0,"Over",IF(H26&lt;&gt;G26,"PO mismatch","OK")))</f>
        <v>OK</v>
      </c>
      <c r="L26" s="35" t="str">
        <f>"Wk "&amp;TEXT(WEEKNUM(A26,2),"00")</f>
        <v>Wk 38</v>
      </c>
    </row>
    <row r="27" ht="18" customHeight="1">
      <c r="A27" s="37" t="n">
        <v>46282</v>
      </c>
      <c r="B27" s="31" t="inlineStr">
        <is>
          <t>PO 48307</t>
        </is>
      </c>
      <c r="C27" s="31" t="inlineStr">
        <is>
          <t>Day &amp; Ross</t>
        </is>
      </c>
      <c r="D27" s="31" t="inlineStr">
        <is>
          <t>3317948</t>
        </is>
      </c>
      <c r="E27" s="31" t="inlineStr">
        <is>
          <t>LHG-10140</t>
        </is>
      </c>
      <c r="F27" s="32" t="str">
        <f>IFERROR(INDEX(Items!$B$2:$B$200,MATCH($E27,Items!$A$2:$A$200,0)),"SKU not found")</f>
        <v>Glass tumbler, 12 oz, set of 6</v>
      </c>
      <c r="G27" s="33" t="n">
        <v>230</v>
      </c>
      <c r="H27" s="33" t="n">
        <v>230</v>
      </c>
      <c r="I27" s="33" t="n">
        <v>230</v>
      </c>
      <c r="J27" s="34">
        <f>I27-H27</f>
        <v>0</v>
      </c>
      <c r="K27" s="35" t="str">
        <f>IF(J27&lt;0,"Short",IF(J27&gt;0,"Over",IF(H27&lt;&gt;G27,"PO mismatch","OK")))</f>
        <v>OK</v>
      </c>
      <c r="L27" s="35" t="str">
        <f>"Wk "&amp;TEXT(WEEKNUM(A27,2),"00")</f>
        <v>Wk 38</v>
      </c>
    </row>
    <row r="28" ht="18" customHeight="1">
      <c r="A28" s="37" t="n">
        <v>46283</v>
      </c>
      <c r="B28" s="31" t="inlineStr">
        <is>
          <t>PO 48315</t>
        </is>
      </c>
      <c r="C28" s="31" t="inlineStr">
        <is>
          <t>Manitoulin Transport</t>
        </is>
      </c>
      <c r="D28" s="31" t="inlineStr">
        <is>
          <t>3133061</t>
        </is>
      </c>
      <c r="E28" s="31" t="inlineStr">
        <is>
          <t>LHG-10259</t>
        </is>
      </c>
      <c r="F28" s="32" t="str">
        <f>IFERROR(INDEX(Items!$B$2:$B$200,MATCH($E28,Items!$A$2:$A$200,0)),"SKU not found")</f>
        <v>Wall clock, 12 in, black</v>
      </c>
      <c r="G28" s="33" t="n">
        <v>210</v>
      </c>
      <c r="H28" s="33" t="n">
        <v>210</v>
      </c>
      <c r="I28" s="33" t="n">
        <v>210</v>
      </c>
      <c r="J28" s="34">
        <f>I28-H28</f>
        <v>0</v>
      </c>
      <c r="K28" s="35" t="str">
        <f>IF(J28&lt;0,"Short",IF(J28&gt;0,"Over",IF(H28&lt;&gt;G28,"PO mismatch","OK")))</f>
        <v>OK</v>
      </c>
      <c r="L28" s="35" t="str">
        <f>"Wk "&amp;TEXT(WEEKNUM(A28,2),"00")</f>
        <v>Wk 38</v>
      </c>
    </row>
    <row r="29" ht="18" customHeight="1">
      <c r="A29" s="37" t="n">
        <v>46283</v>
      </c>
      <c r="B29" s="31" t="inlineStr">
        <is>
          <t>PO 48315</t>
        </is>
      </c>
      <c r="C29" s="31" t="inlineStr">
        <is>
          <t>Day &amp; Ross</t>
        </is>
      </c>
      <c r="D29" s="31" t="inlineStr">
        <is>
          <t>3632834</t>
        </is>
      </c>
      <c r="E29" s="31" t="inlineStr">
        <is>
          <t>MCC-10265</t>
        </is>
      </c>
      <c r="F29" s="32" t="str">
        <f>IFERROR(INDEX(Items!$B$2:$B$200,MATCH($E29,Items!$A$2:$A$200,0)),"SKU not found")</f>
        <v>Espresso pods, 50 ct</v>
      </c>
      <c r="G29" s="33" t="n">
        <v>96</v>
      </c>
      <c r="H29" s="33" t="n">
        <v>96</v>
      </c>
      <c r="I29" s="33" t="n">
        <v>98</v>
      </c>
      <c r="J29" s="34">
        <f>I29-H29</f>
        <v>2</v>
      </c>
      <c r="K29" s="35" t="str">
        <f>IF(J29&lt;0,"Short",IF(J29&gt;0,"Over",IF(H29&lt;&gt;G29,"PO mismatch","OK")))</f>
        <v>Over</v>
      </c>
      <c r="L29" s="35" t="str">
        <f>"Wk "&amp;TEXT(WEEKNUM(A29,2),"00")</f>
        <v>Wk 38</v>
      </c>
    </row>
    <row r="30" ht="18" customHeight="1">
      <c r="A30" s="37" t="n">
        <v>46286</v>
      </c>
      <c r="B30" s="31" t="inlineStr">
        <is>
          <t>PO 48321</t>
        </is>
      </c>
      <c r="C30" s="31" t="inlineStr">
        <is>
          <t>Canpar</t>
        </is>
      </c>
      <c r="D30" s="31" t="inlineStr">
        <is>
          <t>3502768</t>
        </is>
      </c>
      <c r="E30" s="31" t="inlineStr">
        <is>
          <t>NPS-10177</t>
        </is>
      </c>
      <c r="F30" s="32" t="str">
        <f>IFERROR(INDEX(Items!$B$2:$B$200,MATCH($E30,Items!$A$2:$A$200,0)),"SKU not found")</f>
        <v>Dog leash, nylon, 6 ft</v>
      </c>
      <c r="G30" s="33" t="n">
        <v>110</v>
      </c>
      <c r="H30" s="33" t="n">
        <v>110</v>
      </c>
      <c r="I30" s="33" t="n">
        <v>110</v>
      </c>
      <c r="J30" s="34">
        <f>I30-H30</f>
        <v>0</v>
      </c>
      <c r="K30" s="35" t="str">
        <f>IF(J30&lt;0,"Short",IF(J30&gt;0,"Over",IF(H30&lt;&gt;G30,"PO mismatch","OK")))</f>
        <v>OK</v>
      </c>
      <c r="L30" s="35" t="str">
        <f>"Wk "&amp;TEXT(WEEKNUM(A30,2),"00")</f>
        <v>Wk 39</v>
      </c>
    </row>
    <row r="31" ht="18" customHeight="1">
      <c r="A31" s="37" t="n">
        <v>46286</v>
      </c>
      <c r="B31" s="31" t="inlineStr">
        <is>
          <t>PO 48321</t>
        </is>
      </c>
      <c r="C31" s="31" t="inlineStr">
        <is>
          <t>UPS Freight</t>
        </is>
      </c>
      <c r="D31" s="31" t="inlineStr">
        <is>
          <t>3680539</t>
        </is>
      </c>
      <c r="E31" s="31" t="inlineStr">
        <is>
          <t>NPS-10194</t>
        </is>
      </c>
      <c r="F31" s="32" t="str">
        <f>IFERROR(INDEX(Items!$B$2:$B$200,MATCH($E31,Items!$A$2:$A$200,0)),"SKU not found")</f>
        <v>Rawhide-free chew, 10 pk</v>
      </c>
      <c r="G31" s="33" t="n">
        <v>140</v>
      </c>
      <c r="H31" s="33" t="n">
        <v>140</v>
      </c>
      <c r="I31" s="33" t="n">
        <v>140</v>
      </c>
      <c r="J31" s="34">
        <f>I31-H31</f>
        <v>0</v>
      </c>
      <c r="K31" s="35" t="str">
        <f>IF(J31&lt;0,"Short",IF(J31&gt;0,"Over",IF(H31&lt;&gt;G31,"PO mismatch","OK")))</f>
        <v>OK</v>
      </c>
      <c r="L31" s="35" t="str">
        <f>"Wk "&amp;TEXT(WEEKNUM(A31,2),"00")</f>
        <v>Wk 39</v>
      </c>
    </row>
    <row r="32" ht="18" customHeight="1">
      <c r="A32" s="37" t="n">
        <v>46287</v>
      </c>
      <c r="B32" s="31" t="inlineStr">
        <is>
          <t>PO 48331</t>
        </is>
      </c>
      <c r="C32" s="31" t="inlineStr">
        <is>
          <t>Purolator Freight</t>
        </is>
      </c>
      <c r="D32" s="31" t="inlineStr">
        <is>
          <t>3359323</t>
        </is>
      </c>
      <c r="E32" s="31" t="inlineStr">
        <is>
          <t>MCC-10282</t>
        </is>
      </c>
      <c r="F32" s="32" t="str">
        <f>IFERROR(INDEX(Items!$B$2:$B$200,MATCH($E32,Items!$A$2:$A$200,0)),"SKU not found")</f>
        <v>Travel mug, 16 oz, steel</v>
      </c>
      <c r="G32" s="33" t="n">
        <v>240</v>
      </c>
      <c r="H32" s="33" t="n">
        <v>240</v>
      </c>
      <c r="I32" s="33" t="n">
        <v>240</v>
      </c>
      <c r="J32" s="34">
        <f>I32-H32</f>
        <v>0</v>
      </c>
      <c r="K32" s="35" t="str">
        <f>IF(J32&lt;0,"Short",IF(J32&gt;0,"Over",IF(H32&lt;&gt;G32,"PO mismatch","OK")))</f>
        <v>OK</v>
      </c>
      <c r="L32" s="35" t="str">
        <f>"Wk "&amp;TEXT(WEEKNUM(A32,2),"00")</f>
        <v>Wk 39</v>
      </c>
    </row>
    <row r="33" ht="18" customHeight="1">
      <c r="A33" s="37" t="n">
        <v>46287</v>
      </c>
      <c r="B33" s="31" t="inlineStr">
        <is>
          <t>PO 48331</t>
        </is>
      </c>
      <c r="C33" s="31" t="inlineStr">
        <is>
          <t>Canpar</t>
        </is>
      </c>
      <c r="D33" s="31" t="inlineStr">
        <is>
          <t>3911129</t>
        </is>
      </c>
      <c r="E33" s="31" t="inlineStr">
        <is>
          <t>NPS-10245</t>
        </is>
      </c>
      <c r="F33" s="32" t="str">
        <f>IFERROR(INDEX(Items!$B$2:$B$200,MATCH($E33,Items!$A$2:$A$200,0)),"SKU not found")</f>
        <v>Puppy training pads, 100 ct</v>
      </c>
      <c r="G33" s="33" t="n">
        <v>56</v>
      </c>
      <c r="H33" s="33" t="n">
        <v>56</v>
      </c>
      <c r="I33" s="33" t="n">
        <v>53</v>
      </c>
      <c r="J33" s="34">
        <f>I33-H33</f>
        <v>-3</v>
      </c>
      <c r="K33" s="35" t="str">
        <f>IF(J33&lt;0,"Short",IF(J33&gt;0,"Over",IF(H33&lt;&gt;G33,"PO mismatch","OK")))</f>
        <v>Short</v>
      </c>
      <c r="L33" s="35" t="str">
        <f>"Wk "&amp;TEXT(WEEKNUM(A33,2),"00")</f>
        <v>Wk 39</v>
      </c>
    </row>
    <row r="34" ht="18" customHeight="1">
      <c r="A34" s="37" t="n">
        <v>46288</v>
      </c>
      <c r="B34" s="31" t="inlineStr">
        <is>
          <t>PO 48335</t>
        </is>
      </c>
      <c r="C34" s="31" t="inlineStr">
        <is>
          <t>Purolator Freight</t>
        </is>
      </c>
      <c r="D34" s="31" t="inlineStr">
        <is>
          <t>3236209</t>
        </is>
      </c>
      <c r="E34" s="31" t="inlineStr">
        <is>
          <t>LHG-10225</t>
        </is>
      </c>
      <c r="F34" s="32" t="str">
        <f>IFERROR(INDEX(Items!$B$2:$B$200,MATCH($E34,Items!$A$2:$A$200,0)),"SKU not found")</f>
        <v>Throw pillow cover, linen, 18 in</v>
      </c>
      <c r="G34" s="33" t="n">
        <v>100</v>
      </c>
      <c r="H34" s="33" t="n">
        <v>100</v>
      </c>
      <c r="I34" s="33" t="n">
        <v>100</v>
      </c>
      <c r="J34" s="34">
        <f>I34-H34</f>
        <v>0</v>
      </c>
      <c r="K34" s="35" t="str">
        <f>IF(J34&lt;0,"Short",IF(J34&gt;0,"Over",IF(H34&lt;&gt;G34,"PO mismatch","OK")))</f>
        <v>OK</v>
      </c>
      <c r="L34" s="35" t="str">
        <f>"Wk "&amp;TEXT(WEEKNUM(A34,2),"00")</f>
        <v>Wk 39</v>
      </c>
    </row>
    <row r="35" ht="18" customHeight="1">
      <c r="A35" s="37" t="n">
        <v>46288</v>
      </c>
      <c r="B35" s="31" t="inlineStr">
        <is>
          <t>PO 48335</t>
        </is>
      </c>
      <c r="C35" s="31" t="inlineStr">
        <is>
          <t>Day &amp; Ross</t>
        </is>
      </c>
      <c r="D35" s="31" t="inlineStr">
        <is>
          <t>3321836</t>
        </is>
      </c>
      <c r="E35" s="31" t="inlineStr">
        <is>
          <t>KWA-10171</t>
        </is>
      </c>
      <c r="F35" s="32" t="str">
        <f>IFERROR(INDEX(Items!$B$2:$B$200,MATCH($E35,Items!$A$2:$A$200,0)),"SKU not found")</f>
        <v>Fleece hoodie, charcoal, L (case of 12)</v>
      </c>
      <c r="G35" s="33" t="n">
        <v>48</v>
      </c>
      <c r="H35" s="33" t="n">
        <v>48</v>
      </c>
      <c r="I35" s="33" t="n">
        <v>48</v>
      </c>
      <c r="J35" s="34">
        <f>I35-H35</f>
        <v>0</v>
      </c>
      <c r="K35" s="35" t="str">
        <f>IF(J35&lt;0,"Short",IF(J35&gt;0,"Over",IF(H35&lt;&gt;G35,"PO mismatch","OK")))</f>
        <v>OK</v>
      </c>
      <c r="L35" s="35" t="str">
        <f>"Wk "&amp;TEXT(WEEKNUM(A35,2),"00")</f>
        <v>Wk 39</v>
      </c>
    </row>
    <row r="36" ht="18" customHeight="1">
      <c r="A36" s="37" t="n">
        <v>46289</v>
      </c>
      <c r="B36" s="31" t="inlineStr">
        <is>
          <t>PO 48345</t>
        </is>
      </c>
      <c r="C36" s="31" t="inlineStr">
        <is>
          <t>Day &amp; Ross</t>
        </is>
      </c>
      <c r="D36" s="31" t="inlineStr">
        <is>
          <t>3671149</t>
        </is>
      </c>
      <c r="E36" s="31" t="inlineStr">
        <is>
          <t>NPS-10262</t>
        </is>
      </c>
      <c r="F36" s="32" t="str">
        <f>IFERROR(INDEX(Items!$B$2:$B$200,MATCH($E36,Items!$A$2:$A$200,0)),"SKU not found")</f>
        <v>Dog bed, orthopedic, medium</v>
      </c>
      <c r="G36" s="33" t="n">
        <v>64</v>
      </c>
      <c r="H36" s="33" t="n">
        <v>64</v>
      </c>
      <c r="I36" s="33" t="n">
        <v>64</v>
      </c>
      <c r="J36" s="34">
        <f>I36-H36</f>
        <v>0</v>
      </c>
      <c r="K36" s="35" t="str">
        <f>IF(J36&lt;0,"Short",IF(J36&gt;0,"Over",IF(H36&lt;&gt;G36,"PO mismatch","OK")))</f>
        <v>OK</v>
      </c>
      <c r="L36" s="35" t="str">
        <f>"Wk "&amp;TEXT(WEEKNUM(A36,2),"00")</f>
        <v>Wk 39</v>
      </c>
    </row>
    <row r="37" ht="18" customHeight="1">
      <c r="A37" s="37" t="n">
        <v>46289</v>
      </c>
      <c r="B37" s="31" t="inlineStr">
        <is>
          <t>PO 48345</t>
        </is>
      </c>
      <c r="C37" s="31" t="inlineStr">
        <is>
          <t>Purolator Freight</t>
        </is>
      </c>
      <c r="D37" s="31" t="inlineStr">
        <is>
          <t>3369254</t>
        </is>
      </c>
      <c r="E37" s="31" t="inlineStr">
        <is>
          <t>KWA-10171</t>
        </is>
      </c>
      <c r="F37" s="32" t="str">
        <f>IFERROR(INDEX(Items!$B$2:$B$200,MATCH($E37,Items!$A$2:$A$200,0)),"SKU not found")</f>
        <v>Fleece hoodie, charcoal, L (case of 12)</v>
      </c>
      <c r="G37" s="33" t="n">
        <v>60</v>
      </c>
      <c r="H37" s="33" t="n">
        <v>60</v>
      </c>
      <c r="I37" s="33" t="n">
        <v>60</v>
      </c>
      <c r="J37" s="34">
        <f>I37-H37</f>
        <v>0</v>
      </c>
      <c r="K37" s="35" t="str">
        <f>IF(J37&lt;0,"Short",IF(J37&gt;0,"Over",IF(H37&lt;&gt;G37,"PO mismatch","OK")))</f>
        <v>OK</v>
      </c>
      <c r="L37" s="35" t="str">
        <f>"Wk "&amp;TEXT(WEEKNUM(A37,2),"00")</f>
        <v>Wk 39</v>
      </c>
    </row>
    <row r="38" ht="18" customHeight="1">
      <c r="A38" s="37" t="n">
        <v>46290</v>
      </c>
      <c r="B38" s="31" t="inlineStr">
        <is>
          <t>PO 48356</t>
        </is>
      </c>
      <c r="C38" s="31" t="inlineStr">
        <is>
          <t>Canpar</t>
        </is>
      </c>
      <c r="D38" s="31" t="inlineStr">
        <is>
          <t>3235129</t>
        </is>
      </c>
      <c r="E38" s="31" t="inlineStr">
        <is>
          <t>NPS-10245</t>
        </is>
      </c>
      <c r="F38" s="32" t="str">
        <f>IFERROR(INDEX(Items!$B$2:$B$200,MATCH($E38,Items!$A$2:$A$200,0)),"SKU not found")</f>
        <v>Puppy training pads, 100 ct</v>
      </c>
      <c r="G38" s="33" t="n">
        <v>72</v>
      </c>
      <c r="H38" s="33" t="n">
        <v>78</v>
      </c>
      <c r="I38" s="33" t="n">
        <v>78</v>
      </c>
      <c r="J38" s="34">
        <f>I38-H38</f>
        <v>0</v>
      </c>
      <c r="K38" s="35" t="str">
        <f>IF(J38&lt;0,"Short",IF(J38&gt;0,"Over",IF(H38&lt;&gt;G38,"PO mismatch","OK")))</f>
        <v>PO mismatch</v>
      </c>
      <c r="L38" s="35" t="str">
        <f>"Wk "&amp;TEXT(WEEKNUM(A38,2),"00")</f>
        <v>Wk 39</v>
      </c>
    </row>
    <row r="39" ht="18" customHeight="1">
      <c r="A39" s="37" t="n">
        <v>46290</v>
      </c>
      <c r="B39" s="31" t="inlineStr">
        <is>
          <t>PO 48356</t>
        </is>
      </c>
      <c r="C39" s="31" t="inlineStr">
        <is>
          <t>Purolator Freight</t>
        </is>
      </c>
      <c r="D39" s="31" t="inlineStr">
        <is>
          <t>3253601</t>
        </is>
      </c>
      <c r="E39" s="31" t="inlineStr">
        <is>
          <t>LHG-10191</t>
        </is>
      </c>
      <c r="F39" s="32" t="str">
        <f>IFERROR(INDEX(Items!$B$2:$B$200,MATCH($E39,Items!$A$2:$A$200,0)),"SKU not found")</f>
        <v>Non-stick fry pan, 10 in</v>
      </c>
      <c r="G39" s="33" t="n">
        <v>36</v>
      </c>
      <c r="H39" s="33" t="n">
        <v>36</v>
      </c>
      <c r="I39" s="33" t="n">
        <v>36</v>
      </c>
      <c r="J39" s="34">
        <f>I39-H39</f>
        <v>0</v>
      </c>
      <c r="K39" s="35" t="str">
        <f>IF(J39&lt;0,"Short",IF(J39&gt;0,"Over",IF(H39&lt;&gt;G39,"PO mismatch","OK")))</f>
        <v>OK</v>
      </c>
      <c r="L39" s="35" t="str">
        <f>"Wk "&amp;TEXT(WEEKNUM(A39,2),"00")</f>
        <v>Wk 39</v>
      </c>
    </row>
    <row r="40" ht="18" customHeight="1">
      <c r="A40" s="37" t="n">
        <v>46293</v>
      </c>
      <c r="B40" s="31" t="inlineStr">
        <is>
          <t>PO 48361</t>
        </is>
      </c>
      <c r="C40" s="31" t="inlineStr">
        <is>
          <t>Day &amp; Ross</t>
        </is>
      </c>
      <c r="D40" s="31" t="inlineStr">
        <is>
          <t>3778377</t>
        </is>
      </c>
      <c r="E40" s="31" t="inlineStr">
        <is>
          <t>KWA-10137</t>
        </is>
      </c>
      <c r="F40" s="32" t="str">
        <f>IFERROR(INDEX(Items!$B$2:$B$200,MATCH($E40,Items!$A$2:$A$200,0)),"SKU not found")</f>
        <v>Crew neck tee, white, L (case of 24)</v>
      </c>
      <c r="G40" s="33" t="n">
        <v>60</v>
      </c>
      <c r="H40" s="33" t="n">
        <v>60</v>
      </c>
      <c r="I40" s="33" t="n">
        <v>60</v>
      </c>
      <c r="J40" s="34">
        <f>I40-H40</f>
        <v>0</v>
      </c>
      <c r="K40" s="35" t="str">
        <f>IF(J40&lt;0,"Short",IF(J40&gt;0,"Over",IF(H40&lt;&gt;G40,"PO mismatch","OK")))</f>
        <v>OK</v>
      </c>
      <c r="L40" s="35" t="str">
        <f>"Wk "&amp;TEXT(WEEKNUM(A40,2),"00")</f>
        <v>Wk 40</v>
      </c>
    </row>
    <row r="41" ht="18" customHeight="1">
      <c r="A41" s="37" t="n">
        <v>46293</v>
      </c>
      <c r="B41" s="31" t="inlineStr">
        <is>
          <t>PO 48361</t>
        </is>
      </c>
      <c r="C41" s="31" t="inlineStr">
        <is>
          <t>UPS Freight</t>
        </is>
      </c>
      <c r="D41" s="31" t="inlineStr">
        <is>
          <t>3837371</t>
        </is>
      </c>
      <c r="E41" s="31" t="inlineStr">
        <is>
          <t>MCC-10265</t>
        </is>
      </c>
      <c r="F41" s="32" t="str">
        <f>IFERROR(INDEX(Items!$B$2:$B$200,MATCH($E41,Items!$A$2:$A$200,0)),"SKU not found")</f>
        <v>Espresso pods, 50 ct</v>
      </c>
      <c r="G41" s="33" t="n">
        <v>20</v>
      </c>
      <c r="H41" s="33" t="n">
        <v>20</v>
      </c>
      <c r="I41" s="33" t="n">
        <v>20</v>
      </c>
      <c r="J41" s="34">
        <f>I41-H41</f>
        <v>0</v>
      </c>
      <c r="K41" s="35" t="str">
        <f>IF(J41&lt;0,"Short",IF(J41&gt;0,"Over",IF(H41&lt;&gt;G41,"PO mismatch","OK")))</f>
        <v>OK</v>
      </c>
      <c r="L41" s="35" t="str">
        <f>"Wk "&amp;TEXT(WEEKNUM(A41,2),"00")</f>
        <v>Wk 40</v>
      </c>
    </row>
  </sheetData>
  <autoFilter ref="A1:L41"/>
  <conditionalFormatting sqref="K2:K41">
    <cfRule type="expression" priority="1" dxfId="0">
      <formula>$K2&lt;&gt;"OK"</formula>
    </cfRule>
    <cfRule type="expression" priority="2" dxfId="1">
      <formula>$K2="OK"</formula>
    </cfRule>
  </conditionalFormatting>
  <conditionalFormatting sqref="A2:L41">
    <cfRule type="expression" priority="3" dxfId="2">
      <formula>$K2&lt;&gt;"OK"</formula>
    </cfRule>
  </conditionalFormatting>
  <conditionalFormatting sqref="J2:J41">
    <cfRule type="expression" priority="4" dxfId="3">
      <formula>$J2&lt;&gt;0</formula>
    </cfRule>
  </conditionalFormatting>
  <dataValidations count="1">
    <dataValidation sqref="C2:C101" showDropDown="0" showInputMessage="0" showErrorMessage="0" allowBlank="1" type="list">
      <formula1>=Carriers</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2E86C1"/>
    <outlinePr summaryBelow="1" summaryRight="1"/>
    <pageSetUpPr fitToPage="1"/>
  </sheetPr>
  <dimension ref="A1:H39"/>
  <sheetViews>
    <sheetView tabSelected="0" zoomScale="10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11" customWidth="1" min="3" max="3"/>
    <col width="10" customWidth="1" min="4" max="4"/>
    <col width="15" customWidth="1" min="5" max="5"/>
    <col width="14" customWidth="1" min="6" max="6"/>
    <col width="13" customWidth="1" min="7" max="7"/>
    <col width="9" customWidth="1" min="8" max="8"/>
  </cols>
  <sheetData>
    <row r="1" ht="30" customHeight="1">
      <c r="A1" s="30" t="inlineStr">
        <is>
          <t>Month</t>
        </is>
      </c>
      <c r="B1" s="30" t="inlineStr">
        <is>
          <t>Client</t>
        </is>
      </c>
      <c r="C1" s="30" t="inlineStr">
        <is>
          <t>Pallets stored</t>
        </is>
      </c>
      <c r="D1" s="30" t="inlineStr">
        <is>
          <t>Rate ($)</t>
        </is>
      </c>
      <c r="E1" s="30" t="inlineStr">
        <is>
          <t>Invoice amount ($)</t>
        </is>
      </c>
      <c r="F1" s="30" t="inlineStr">
        <is>
          <t>Expected ($)</t>
        </is>
      </c>
      <c r="G1" s="30" t="inlineStr">
        <is>
          <t>Variance ($)</t>
        </is>
      </c>
      <c r="H1" s="30" t="inlineStr">
        <is>
          <t>Flag</t>
        </is>
      </c>
    </row>
    <row r="2" ht="18" customHeight="1">
      <c r="A2" s="38" t="n">
        <v>46023</v>
      </c>
      <c r="B2" s="31" t="inlineStr">
        <is>
          <t>Kingsway Apparel</t>
        </is>
      </c>
      <c r="C2" s="33" t="n">
        <v>147</v>
      </c>
      <c r="D2" s="36">
        <f>IFERROR(INDEX(Lists!$F$2:$F$20,MATCH(B2,Lists!$E$2:$E$20,0)),0)</f>
        <v>24.5</v>
      </c>
      <c r="E2" s="39" t="n">
        <v>3601.5</v>
      </c>
      <c r="F2" s="36">
        <f>C2*D2</f>
        <v>3601.5</v>
      </c>
      <c r="G2" s="36">
        <f>E2-F2</f>
        <v>0</v>
      </c>
      <c r="H2" s="35" t="str">
        <f>IF(ABS(G2)&gt;Lists!$I$2,"Check","OK")</f>
        <v>OK</v>
      </c>
    </row>
    <row r="3" ht="18" customHeight="1">
      <c r="A3" s="38" t="n">
        <v>46023</v>
      </c>
      <c r="B3" s="31" t="inlineStr">
        <is>
          <t>Lakeshore Home Goods</t>
        </is>
      </c>
      <c r="C3" s="33" t="n">
        <v>96</v>
      </c>
      <c r="D3" s="36">
        <f>IFERROR(INDEX(Lists!$F$2:$F$20,MATCH(B3,Lists!$E$2:$E$20,0)),0)</f>
        <v>22</v>
      </c>
      <c r="E3" s="39" t="n">
        <v>2112</v>
      </c>
      <c r="F3" s="36">
        <f>C3*D3</f>
        <v>2112</v>
      </c>
      <c r="G3" s="36">
        <f>E3-F3</f>
        <v>0</v>
      </c>
      <c r="H3" s="35" t="str">
        <f>IF(ABS(G3)&gt;Lists!$I$2,"Check","OK")</f>
        <v>OK</v>
      </c>
    </row>
    <row r="4" ht="18" customHeight="1">
      <c r="A4" s="38" t="n">
        <v>46023</v>
      </c>
      <c r="B4" s="31" t="inlineStr">
        <is>
          <t>Northline Pet Supply</t>
        </is>
      </c>
      <c r="C4" s="33" t="n">
        <v>189</v>
      </c>
      <c r="D4" s="36">
        <f>IFERROR(INDEX(Lists!$F$2:$F$20,MATCH(B4,Lists!$E$2:$E$20,0)),0)</f>
        <v>26.75</v>
      </c>
      <c r="E4" s="39" t="n">
        <v>5055.75</v>
      </c>
      <c r="F4" s="36">
        <f>C4*D4</f>
        <v>5055.75</v>
      </c>
      <c r="G4" s="36">
        <f>E4-F4</f>
        <v>0</v>
      </c>
      <c r="H4" s="35" t="str">
        <f>IF(ABS(G4)&gt;Lists!$I$2,"Check","OK")</f>
        <v>OK</v>
      </c>
    </row>
    <row r="5" ht="18" customHeight="1">
      <c r="A5" s="38" t="n">
        <v>46023</v>
      </c>
      <c r="B5" s="31" t="inlineStr">
        <is>
          <t>Mimico Coffee Co.</t>
        </is>
      </c>
      <c r="C5" s="33" t="n">
        <v>59</v>
      </c>
      <c r="D5" s="36">
        <f>IFERROR(INDEX(Lists!$F$2:$F$20,MATCH(B5,Lists!$E$2:$E$20,0)),0)</f>
        <v>19.5</v>
      </c>
      <c r="E5" s="39" t="n">
        <v>1150.5</v>
      </c>
      <c r="F5" s="36">
        <f>C5*D5</f>
        <v>1150.5</v>
      </c>
      <c r="G5" s="36">
        <f>E5-F5</f>
        <v>0</v>
      </c>
      <c r="H5" s="35" t="str">
        <f>IF(ABS(G5)&gt;Lists!$I$2,"Check","OK")</f>
        <v>OK</v>
      </c>
    </row>
    <row r="6" ht="18" customHeight="1">
      <c r="A6" s="38" t="n">
        <v>46054</v>
      </c>
      <c r="B6" s="31" t="inlineStr">
        <is>
          <t>Kingsway Apparel</t>
        </is>
      </c>
      <c r="C6" s="33" t="n">
        <v>160</v>
      </c>
      <c r="D6" s="36">
        <f>IFERROR(INDEX(Lists!$F$2:$F$20,MATCH(B6,Lists!$E$2:$E$20,0)),0)</f>
        <v>24.5</v>
      </c>
      <c r="E6" s="39" t="n">
        <v>3920</v>
      </c>
      <c r="F6" s="36">
        <f>C6*D6</f>
        <v>3920</v>
      </c>
      <c r="G6" s="36">
        <f>E6-F6</f>
        <v>0</v>
      </c>
      <c r="H6" s="35" t="str">
        <f>IF(ABS(G6)&gt;Lists!$I$2,"Check","OK")</f>
        <v>OK</v>
      </c>
    </row>
    <row r="7" ht="18" customHeight="1">
      <c r="A7" s="38" t="n">
        <v>46054</v>
      </c>
      <c r="B7" s="31" t="inlineStr">
        <is>
          <t>Lakeshore Home Goods</t>
        </is>
      </c>
      <c r="C7" s="33" t="n">
        <v>99</v>
      </c>
      <c r="D7" s="36">
        <f>IFERROR(INDEX(Lists!$F$2:$F$20,MATCH(B7,Lists!$E$2:$E$20,0)),0)</f>
        <v>22</v>
      </c>
      <c r="E7" s="39" t="n">
        <v>2178</v>
      </c>
      <c r="F7" s="36">
        <f>C7*D7</f>
        <v>2178</v>
      </c>
      <c r="G7" s="36">
        <f>E7-F7</f>
        <v>0</v>
      </c>
      <c r="H7" s="35" t="str">
        <f>IF(ABS(G7)&gt;Lists!$I$2,"Check","OK")</f>
        <v>OK</v>
      </c>
    </row>
    <row r="8" ht="18" customHeight="1">
      <c r="A8" s="38" t="n">
        <v>46054</v>
      </c>
      <c r="B8" s="31" t="inlineStr">
        <is>
          <t>Northline Pet Supply</t>
        </is>
      </c>
      <c r="C8" s="33" t="n">
        <v>186</v>
      </c>
      <c r="D8" s="36">
        <f>IFERROR(INDEX(Lists!$F$2:$F$20,MATCH(B8,Lists!$E$2:$E$20,0)),0)</f>
        <v>26.75</v>
      </c>
      <c r="E8" s="39" t="n">
        <v>4975.5</v>
      </c>
      <c r="F8" s="36">
        <f>C8*D8</f>
        <v>4975.5</v>
      </c>
      <c r="G8" s="36">
        <f>E8-F8</f>
        <v>0</v>
      </c>
      <c r="H8" s="35" t="str">
        <f>IF(ABS(G8)&gt;Lists!$I$2,"Check","OK")</f>
        <v>OK</v>
      </c>
    </row>
    <row r="9" ht="18" customHeight="1">
      <c r="A9" s="38" t="n">
        <v>46054</v>
      </c>
      <c r="B9" s="31" t="inlineStr">
        <is>
          <t>Mimico Coffee Co.</t>
        </is>
      </c>
      <c r="C9" s="33" t="n">
        <v>81</v>
      </c>
      <c r="D9" s="36">
        <f>IFERROR(INDEX(Lists!$F$2:$F$20,MATCH(B9,Lists!$E$2:$E$20,0)),0)</f>
        <v>19.5</v>
      </c>
      <c r="E9" s="39" t="n">
        <v>1579.5</v>
      </c>
      <c r="F9" s="36">
        <f>C9*D9</f>
        <v>1579.5</v>
      </c>
      <c r="G9" s="36">
        <f>E9-F9</f>
        <v>0</v>
      </c>
      <c r="H9" s="35" t="str">
        <f>IF(ABS(G9)&gt;Lists!$I$2,"Check","OK")</f>
        <v>OK</v>
      </c>
    </row>
    <row r="10" ht="18" customHeight="1">
      <c r="A10" s="38" t="n">
        <v>46082</v>
      </c>
      <c r="B10" s="31" t="inlineStr">
        <is>
          <t>Kingsway Apparel</t>
        </is>
      </c>
      <c r="C10" s="33" t="n">
        <v>133</v>
      </c>
      <c r="D10" s="36">
        <f>IFERROR(INDEX(Lists!$F$2:$F$20,MATCH(B10,Lists!$E$2:$E$20,0)),0)</f>
        <v>24.5</v>
      </c>
      <c r="E10" s="39" t="n">
        <v>3258.5</v>
      </c>
      <c r="F10" s="36">
        <f>C10*D10</f>
        <v>3258.5</v>
      </c>
      <c r="G10" s="36">
        <f>E10-F10</f>
        <v>0</v>
      </c>
      <c r="H10" s="35" t="str">
        <f>IF(ABS(G10)&gt;Lists!$I$2,"Check","OK")</f>
        <v>OK</v>
      </c>
    </row>
    <row r="11" ht="18" customHeight="1">
      <c r="A11" s="38" t="n">
        <v>46082</v>
      </c>
      <c r="B11" s="31" t="inlineStr">
        <is>
          <t>Lakeshore Home Goods</t>
        </is>
      </c>
      <c r="C11" s="33" t="n">
        <v>112</v>
      </c>
      <c r="D11" s="36">
        <f>IFERROR(INDEX(Lists!$F$2:$F$20,MATCH(B11,Lists!$E$2:$E$20,0)),0)</f>
        <v>22</v>
      </c>
      <c r="E11" s="39" t="n">
        <v>2324</v>
      </c>
      <c r="F11" s="36">
        <f>C11*D11</f>
        <v>2464</v>
      </c>
      <c r="G11" s="36">
        <f>E11-F11</f>
        <v>-140</v>
      </c>
      <c r="H11" s="35" t="str">
        <f>IF(ABS(G11)&gt;Lists!$I$2,"Check","OK")</f>
        <v>Check</v>
      </c>
    </row>
    <row r="12" ht="18" customHeight="1">
      <c r="A12" s="38" t="n">
        <v>46082</v>
      </c>
      <c r="B12" s="31" t="inlineStr">
        <is>
          <t>Northline Pet Supply</t>
        </is>
      </c>
      <c r="C12" s="33" t="n">
        <v>188</v>
      </c>
      <c r="D12" s="36">
        <f>IFERROR(INDEX(Lists!$F$2:$F$20,MATCH(B12,Lists!$E$2:$E$20,0)),0)</f>
        <v>26.75</v>
      </c>
      <c r="E12" s="39" t="n">
        <v>5029</v>
      </c>
      <c r="F12" s="36">
        <f>C12*D12</f>
        <v>5029</v>
      </c>
      <c r="G12" s="36">
        <f>E12-F12</f>
        <v>0</v>
      </c>
      <c r="H12" s="35" t="str">
        <f>IF(ABS(G12)&gt;Lists!$I$2,"Check","OK")</f>
        <v>OK</v>
      </c>
    </row>
    <row r="13" ht="18" customHeight="1">
      <c r="A13" s="38" t="n">
        <v>46082</v>
      </c>
      <c r="B13" s="31" t="inlineStr">
        <is>
          <t>Mimico Coffee Co.</t>
        </is>
      </c>
      <c r="C13" s="33" t="n">
        <v>54</v>
      </c>
      <c r="D13" s="36">
        <f>IFERROR(INDEX(Lists!$F$2:$F$20,MATCH(B13,Lists!$E$2:$E$20,0)),0)</f>
        <v>19.5</v>
      </c>
      <c r="E13" s="39" t="n">
        <v>1053</v>
      </c>
      <c r="F13" s="36">
        <f>C13*D13</f>
        <v>1053</v>
      </c>
      <c r="G13" s="36">
        <f>E13-F13</f>
        <v>0</v>
      </c>
      <c r="H13" s="35" t="str">
        <f>IF(ABS(G13)&gt;Lists!$I$2,"Check","OK")</f>
        <v>OK</v>
      </c>
    </row>
    <row r="14" ht="18" customHeight="1">
      <c r="A14" s="38" t="n">
        <v>46113</v>
      </c>
      <c r="B14" s="31" t="inlineStr">
        <is>
          <t>Kingsway Apparel</t>
        </is>
      </c>
      <c r="C14" s="33" t="n">
        <v>153</v>
      </c>
      <c r="D14" s="36">
        <f>IFERROR(INDEX(Lists!$F$2:$F$20,MATCH(B14,Lists!$E$2:$E$20,0)),0)</f>
        <v>24.5</v>
      </c>
      <c r="E14" s="39" t="n">
        <v>3748.5</v>
      </c>
      <c r="F14" s="36">
        <f>C14*D14</f>
        <v>3748.5</v>
      </c>
      <c r="G14" s="36">
        <f>E14-F14</f>
        <v>0</v>
      </c>
      <c r="H14" s="35" t="str">
        <f>IF(ABS(G14)&gt;Lists!$I$2,"Check","OK")</f>
        <v>OK</v>
      </c>
    </row>
    <row r="15" ht="18" customHeight="1">
      <c r="A15" s="38" t="n">
        <v>46113</v>
      </c>
      <c r="B15" s="31" t="inlineStr">
        <is>
          <t>Lakeshore Home Goods</t>
        </is>
      </c>
      <c r="C15" s="33" t="n">
        <v>106</v>
      </c>
      <c r="D15" s="36">
        <f>IFERROR(INDEX(Lists!$F$2:$F$20,MATCH(B15,Lists!$E$2:$E$20,0)),0)</f>
        <v>22</v>
      </c>
      <c r="E15" s="39" t="n">
        <v>2332</v>
      </c>
      <c r="F15" s="36">
        <f>C15*D15</f>
        <v>2332</v>
      </c>
      <c r="G15" s="36">
        <f>E15-F15</f>
        <v>0</v>
      </c>
      <c r="H15" s="35" t="str">
        <f>IF(ABS(G15)&gt;Lists!$I$2,"Check","OK")</f>
        <v>OK</v>
      </c>
    </row>
    <row r="16" ht="18" customHeight="1">
      <c r="A16" s="38" t="n">
        <v>46113</v>
      </c>
      <c r="B16" s="31" t="inlineStr">
        <is>
          <t>Northline Pet Supply</t>
        </is>
      </c>
      <c r="C16" s="33" t="n">
        <v>207</v>
      </c>
      <c r="D16" s="36">
        <f>IFERROR(INDEX(Lists!$F$2:$F$20,MATCH(B16,Lists!$E$2:$E$20,0)),0)</f>
        <v>26.75</v>
      </c>
      <c r="E16" s="39" t="n">
        <v>5537.25</v>
      </c>
      <c r="F16" s="36">
        <f>C16*D16</f>
        <v>5537.25</v>
      </c>
      <c r="G16" s="36">
        <f>E16-F16</f>
        <v>0</v>
      </c>
      <c r="H16" s="35" t="str">
        <f>IF(ABS(G16)&gt;Lists!$I$2,"Check","OK")</f>
        <v>OK</v>
      </c>
    </row>
    <row r="17" ht="18" customHeight="1">
      <c r="A17" s="38" t="n">
        <v>46113</v>
      </c>
      <c r="B17" s="31" t="inlineStr">
        <is>
          <t>Mimico Coffee Co.</t>
        </is>
      </c>
      <c r="C17" s="33" t="n">
        <v>74</v>
      </c>
      <c r="D17" s="36">
        <f>IFERROR(INDEX(Lists!$F$2:$F$20,MATCH(B17,Lists!$E$2:$E$20,0)),0)</f>
        <v>19.5</v>
      </c>
      <c r="E17" s="39" t="n">
        <v>1443</v>
      </c>
      <c r="F17" s="36">
        <f>C17*D17</f>
        <v>1443</v>
      </c>
      <c r="G17" s="36">
        <f>E17-F17</f>
        <v>0</v>
      </c>
      <c r="H17" s="35" t="str">
        <f>IF(ABS(G17)&gt;Lists!$I$2,"Check","OK")</f>
        <v>OK</v>
      </c>
    </row>
    <row r="18" ht="18" customHeight="1">
      <c r="A18" s="38" t="n">
        <v>46143</v>
      </c>
      <c r="B18" s="31" t="inlineStr">
        <is>
          <t>Kingsway Apparel</t>
        </is>
      </c>
      <c r="C18" s="33" t="n">
        <v>150</v>
      </c>
      <c r="D18" s="36">
        <f>IFERROR(INDEX(Lists!$F$2:$F$20,MATCH(B18,Lists!$E$2:$E$20,0)),0)</f>
        <v>24.5</v>
      </c>
      <c r="E18" s="39" t="n">
        <v>3675</v>
      </c>
      <c r="F18" s="36">
        <f>C18*D18</f>
        <v>3675</v>
      </c>
      <c r="G18" s="36">
        <f>E18-F18</f>
        <v>0</v>
      </c>
      <c r="H18" s="35" t="str">
        <f>IF(ABS(G18)&gt;Lists!$I$2,"Check","OK")</f>
        <v>OK</v>
      </c>
    </row>
    <row r="19" ht="18" customHeight="1">
      <c r="A19" s="38" t="n">
        <v>46143</v>
      </c>
      <c r="B19" s="31" t="inlineStr">
        <is>
          <t>Lakeshore Home Goods</t>
        </is>
      </c>
      <c r="C19" s="33" t="n">
        <v>113</v>
      </c>
      <c r="D19" s="36">
        <f>IFERROR(INDEX(Lists!$F$2:$F$20,MATCH(B19,Lists!$E$2:$E$20,0)),0)</f>
        <v>22</v>
      </c>
      <c r="E19" s="39" t="n">
        <v>2486</v>
      </c>
      <c r="F19" s="36">
        <f>C19*D19</f>
        <v>2486</v>
      </c>
      <c r="G19" s="36">
        <f>E19-F19</f>
        <v>0</v>
      </c>
      <c r="H19" s="35" t="str">
        <f>IF(ABS(G19)&gt;Lists!$I$2,"Check","OK")</f>
        <v>OK</v>
      </c>
    </row>
    <row r="20" ht="18" customHeight="1">
      <c r="A20" s="38" t="n">
        <v>46143</v>
      </c>
      <c r="B20" s="31" t="inlineStr">
        <is>
          <t>Northline Pet Supply</t>
        </is>
      </c>
      <c r="C20" s="33" t="n">
        <v>182</v>
      </c>
      <c r="D20" s="36">
        <f>IFERROR(INDEX(Lists!$F$2:$F$20,MATCH(B20,Lists!$E$2:$E$20,0)),0)</f>
        <v>26.75</v>
      </c>
      <c r="E20" s="39" t="n">
        <v>5189.5</v>
      </c>
      <c r="F20" s="36">
        <f>C20*D20</f>
        <v>4868.5</v>
      </c>
      <c r="G20" s="36">
        <f>E20-F20</f>
        <v>321</v>
      </c>
      <c r="H20" s="35" t="str">
        <f>IF(ABS(G20)&gt;Lists!$I$2,"Check","OK")</f>
        <v>Check</v>
      </c>
    </row>
    <row r="21" ht="18" customHeight="1">
      <c r="A21" s="38" t="n">
        <v>46143</v>
      </c>
      <c r="B21" s="31" t="inlineStr">
        <is>
          <t>Mimico Coffee Co.</t>
        </is>
      </c>
      <c r="C21" s="33" t="n">
        <v>84</v>
      </c>
      <c r="D21" s="36">
        <f>IFERROR(INDEX(Lists!$F$2:$F$20,MATCH(B21,Lists!$E$2:$E$20,0)),0)</f>
        <v>19.5</v>
      </c>
      <c r="E21" s="39" t="n">
        <v>1638</v>
      </c>
      <c r="F21" s="36">
        <f>C21*D21</f>
        <v>1638</v>
      </c>
      <c r="G21" s="36">
        <f>E21-F21</f>
        <v>0</v>
      </c>
      <c r="H21" s="35" t="str">
        <f>IF(ABS(G21)&gt;Lists!$I$2,"Check","OK")</f>
        <v>OK</v>
      </c>
    </row>
    <row r="22" ht="18" customHeight="1">
      <c r="A22" s="38" t="n">
        <v>46174</v>
      </c>
      <c r="B22" s="31" t="inlineStr">
        <is>
          <t>Kingsway Apparel</t>
        </is>
      </c>
      <c r="C22" s="33" t="n">
        <v>161</v>
      </c>
      <c r="D22" s="36">
        <f>IFERROR(INDEX(Lists!$F$2:$F$20,MATCH(B22,Lists!$E$2:$E$20,0)),0)</f>
        <v>24.5</v>
      </c>
      <c r="E22" s="39" t="n">
        <v>3944.5</v>
      </c>
      <c r="F22" s="36">
        <f>C22*D22</f>
        <v>3944.5</v>
      </c>
      <c r="G22" s="36">
        <f>E22-F22</f>
        <v>0</v>
      </c>
      <c r="H22" s="35" t="str">
        <f>IF(ABS(G22)&gt;Lists!$I$2,"Check","OK")</f>
        <v>OK</v>
      </c>
    </row>
    <row r="23" ht="18" customHeight="1">
      <c r="A23" s="38" t="n">
        <v>46174</v>
      </c>
      <c r="B23" s="31" t="inlineStr">
        <is>
          <t>Lakeshore Home Goods</t>
        </is>
      </c>
      <c r="C23" s="33" t="n">
        <v>90</v>
      </c>
      <c r="D23" s="36">
        <f>IFERROR(INDEX(Lists!$F$2:$F$20,MATCH(B23,Lists!$E$2:$E$20,0)),0)</f>
        <v>22</v>
      </c>
      <c r="E23" s="39" t="n">
        <v>1980</v>
      </c>
      <c r="F23" s="36">
        <f>C23*D23</f>
        <v>1980</v>
      </c>
      <c r="G23" s="36">
        <f>E23-F23</f>
        <v>0</v>
      </c>
      <c r="H23" s="35" t="str">
        <f>IF(ABS(G23)&gt;Lists!$I$2,"Check","OK")</f>
        <v>OK</v>
      </c>
    </row>
    <row r="24" ht="18" customHeight="1">
      <c r="A24" s="38" t="n">
        <v>46174</v>
      </c>
      <c r="B24" s="31" t="inlineStr">
        <is>
          <t>Northline Pet Supply</t>
        </is>
      </c>
      <c r="C24" s="33" t="n">
        <v>193</v>
      </c>
      <c r="D24" s="36">
        <f>IFERROR(INDEX(Lists!$F$2:$F$20,MATCH(B24,Lists!$E$2:$E$20,0)),0)</f>
        <v>26.75</v>
      </c>
      <c r="E24" s="39" t="n">
        <v>5162.75</v>
      </c>
      <c r="F24" s="36">
        <f>C24*D24</f>
        <v>5162.75</v>
      </c>
      <c r="G24" s="36">
        <f>E24-F24</f>
        <v>0</v>
      </c>
      <c r="H24" s="35" t="str">
        <f>IF(ABS(G24)&gt;Lists!$I$2,"Check","OK")</f>
        <v>OK</v>
      </c>
    </row>
    <row r="25" ht="18" customHeight="1">
      <c r="A25" s="38" t="n">
        <v>46174</v>
      </c>
      <c r="B25" s="31" t="inlineStr">
        <is>
          <t>Mimico Coffee Co.</t>
        </is>
      </c>
      <c r="C25" s="33" t="n">
        <v>82</v>
      </c>
      <c r="D25" s="36">
        <f>IFERROR(INDEX(Lists!$F$2:$F$20,MATCH(B25,Lists!$E$2:$E$20,0)),0)</f>
        <v>19.5</v>
      </c>
      <c r="E25" s="39" t="n">
        <v>1599</v>
      </c>
      <c r="F25" s="36">
        <f>C25*D25</f>
        <v>1599</v>
      </c>
      <c r="G25" s="36">
        <f>E25-F25</f>
        <v>0</v>
      </c>
      <c r="H25" s="35" t="str">
        <f>IF(ABS(G25)&gt;Lists!$I$2,"Check","OK")</f>
        <v>OK</v>
      </c>
    </row>
    <row r="26" ht="18" customHeight="1">
      <c r="A26" s="38" t="n">
        <v>46204</v>
      </c>
      <c r="B26" s="31" t="inlineStr">
        <is>
          <t>Kingsway Apparel</t>
        </is>
      </c>
      <c r="C26" s="33" t="n">
        <v>138</v>
      </c>
      <c r="D26" s="36">
        <f>IFERROR(INDEX(Lists!$F$2:$F$20,MATCH(B26,Lists!$E$2:$E$20,0)),0)</f>
        <v>24.5</v>
      </c>
      <c r="E26" s="39" t="n">
        <v>3831</v>
      </c>
      <c r="F26" s="36">
        <f>C26*D26</f>
        <v>3381</v>
      </c>
      <c r="G26" s="36">
        <f>E26-F26</f>
        <v>450</v>
      </c>
      <c r="H26" s="35" t="str">
        <f>IF(ABS(G26)&gt;Lists!$I$2,"Check","OK")</f>
        <v>Check</v>
      </c>
    </row>
    <row r="27" ht="18" customHeight="1">
      <c r="A27" s="38" t="n">
        <v>46204</v>
      </c>
      <c r="B27" s="31" t="inlineStr">
        <is>
          <t>Lakeshore Home Goods</t>
        </is>
      </c>
      <c r="C27" s="33" t="n">
        <v>116</v>
      </c>
      <c r="D27" s="36">
        <f>IFERROR(INDEX(Lists!$F$2:$F$20,MATCH(B27,Lists!$E$2:$E$20,0)),0)</f>
        <v>22</v>
      </c>
      <c r="E27" s="39" t="n">
        <v>2552</v>
      </c>
      <c r="F27" s="36">
        <f>C27*D27</f>
        <v>2552</v>
      </c>
      <c r="G27" s="36">
        <f>E27-F27</f>
        <v>0</v>
      </c>
      <c r="H27" s="35" t="str">
        <f>IF(ABS(G27)&gt;Lists!$I$2,"Check","OK")</f>
        <v>OK</v>
      </c>
    </row>
    <row r="28" ht="18" customHeight="1">
      <c r="A28" s="38" t="n">
        <v>46204</v>
      </c>
      <c r="B28" s="31" t="inlineStr">
        <is>
          <t>Northline Pet Supply</t>
        </is>
      </c>
      <c r="C28" s="33" t="n">
        <v>182</v>
      </c>
      <c r="D28" s="36">
        <f>IFERROR(INDEX(Lists!$F$2:$F$20,MATCH(B28,Lists!$E$2:$E$20,0)),0)</f>
        <v>26.75</v>
      </c>
      <c r="E28" s="39" t="n">
        <v>4868.5</v>
      </c>
      <c r="F28" s="36">
        <f>C28*D28</f>
        <v>4868.5</v>
      </c>
      <c r="G28" s="36">
        <f>E28-F28</f>
        <v>0</v>
      </c>
      <c r="H28" s="35" t="str">
        <f>IF(ABS(G28)&gt;Lists!$I$2,"Check","OK")</f>
        <v>OK</v>
      </c>
    </row>
    <row r="29" ht="18" customHeight="1">
      <c r="A29" s="38" t="n">
        <v>46204</v>
      </c>
      <c r="B29" s="31" t="inlineStr">
        <is>
          <t>Mimico Coffee Co.</t>
        </is>
      </c>
      <c r="C29" s="33" t="n">
        <v>83</v>
      </c>
      <c r="D29" s="36">
        <f>IFERROR(INDEX(Lists!$F$2:$F$20,MATCH(B29,Lists!$E$2:$E$20,0)),0)</f>
        <v>19.5</v>
      </c>
      <c r="E29" s="39" t="n">
        <v>1618.5</v>
      </c>
      <c r="F29" s="36">
        <f>C29*D29</f>
        <v>1618.5</v>
      </c>
      <c r="G29" s="36">
        <f>E29-F29</f>
        <v>0</v>
      </c>
      <c r="H29" s="35" t="str">
        <f>IF(ABS(G29)&gt;Lists!$I$2,"Check","OK")</f>
        <v>OK</v>
      </c>
    </row>
    <row r="30" ht="18" customHeight="1">
      <c r="A30" s="38" t="n">
        <v>46235</v>
      </c>
      <c r="B30" s="31" t="inlineStr">
        <is>
          <t>Kingsway Apparel</t>
        </is>
      </c>
      <c r="C30" s="33" t="n">
        <v>156</v>
      </c>
      <c r="D30" s="36">
        <f>IFERROR(INDEX(Lists!$F$2:$F$20,MATCH(B30,Lists!$E$2:$E$20,0)),0)</f>
        <v>24.5</v>
      </c>
      <c r="E30" s="39" t="n">
        <v>3822</v>
      </c>
      <c r="F30" s="36">
        <f>C30*D30</f>
        <v>3822</v>
      </c>
      <c r="G30" s="36">
        <f>E30-F30</f>
        <v>0</v>
      </c>
      <c r="H30" s="35" t="str">
        <f>IF(ABS(G30)&gt;Lists!$I$2,"Check","OK")</f>
        <v>OK</v>
      </c>
    </row>
    <row r="31" ht="18" customHeight="1">
      <c r="A31" s="38" t="n">
        <v>46235</v>
      </c>
      <c r="B31" s="31" t="inlineStr">
        <is>
          <t>Lakeshore Home Goods</t>
        </is>
      </c>
      <c r="C31" s="33" t="n">
        <v>119</v>
      </c>
      <c r="D31" s="36">
        <f>IFERROR(INDEX(Lists!$F$2:$F$20,MATCH(B31,Lists!$E$2:$E$20,0)),0)</f>
        <v>22</v>
      </c>
      <c r="E31" s="39" t="n">
        <v>2618</v>
      </c>
      <c r="F31" s="36">
        <f>C31*D31</f>
        <v>2618</v>
      </c>
      <c r="G31" s="36">
        <f>E31-F31</f>
        <v>0</v>
      </c>
      <c r="H31" s="35" t="str">
        <f>IF(ABS(G31)&gt;Lists!$I$2,"Check","OK")</f>
        <v>OK</v>
      </c>
    </row>
    <row r="32" ht="18" customHeight="1">
      <c r="A32" s="38" t="n">
        <v>46235</v>
      </c>
      <c r="B32" s="31" t="inlineStr">
        <is>
          <t>Northline Pet Supply</t>
        </is>
      </c>
      <c r="C32" s="33" t="n">
        <v>187</v>
      </c>
      <c r="D32" s="36">
        <f>IFERROR(INDEX(Lists!$F$2:$F$20,MATCH(B32,Lists!$E$2:$E$20,0)),0)</f>
        <v>26.75</v>
      </c>
      <c r="E32" s="39" t="n">
        <v>5002.25</v>
      </c>
      <c r="F32" s="36">
        <f>C32*D32</f>
        <v>5002.25</v>
      </c>
      <c r="G32" s="36">
        <f>E32-F32</f>
        <v>0</v>
      </c>
      <c r="H32" s="35" t="str">
        <f>IF(ABS(G32)&gt;Lists!$I$2,"Check","OK")</f>
        <v>OK</v>
      </c>
    </row>
    <row r="33" ht="18" customHeight="1">
      <c r="A33" s="38" t="n">
        <v>46235</v>
      </c>
      <c r="B33" s="31" t="inlineStr">
        <is>
          <t>Mimico Coffee Co.</t>
        </is>
      </c>
      <c r="C33" s="33" t="n">
        <v>60</v>
      </c>
      <c r="D33" s="36">
        <f>IFERROR(INDEX(Lists!$F$2:$F$20,MATCH(B33,Lists!$E$2:$E$20,0)),0)</f>
        <v>19.5</v>
      </c>
      <c r="E33" s="39" t="n">
        <v>1053</v>
      </c>
      <c r="F33" s="36">
        <f>C33*D33</f>
        <v>1170</v>
      </c>
      <c r="G33" s="36">
        <f>E33-F33</f>
        <v>-117</v>
      </c>
      <c r="H33" s="35" t="str">
        <f>IF(ABS(G33)&gt;Lists!$I$2,"Check","OK")</f>
        <v>Check</v>
      </c>
    </row>
    <row r="34" ht="18" customHeight="1">
      <c r="A34" s="38" t="n">
        <v>46266</v>
      </c>
      <c r="B34" s="31" t="inlineStr">
        <is>
          <t>Kingsway Apparel</t>
        </is>
      </c>
      <c r="C34" s="33" t="n">
        <v>137</v>
      </c>
      <c r="D34" s="36">
        <f>IFERROR(INDEX(Lists!$F$2:$F$20,MATCH(B34,Lists!$E$2:$E$20,0)),0)</f>
        <v>24.5</v>
      </c>
      <c r="E34" s="39" t="n">
        <v>3356.5</v>
      </c>
      <c r="F34" s="36">
        <f>C34*D34</f>
        <v>3356.5</v>
      </c>
      <c r="G34" s="36">
        <f>E34-F34</f>
        <v>0</v>
      </c>
      <c r="H34" s="35" t="str">
        <f>IF(ABS(G34)&gt;Lists!$I$2,"Check","OK")</f>
        <v>OK</v>
      </c>
    </row>
    <row r="35" ht="18" customHeight="1">
      <c r="A35" s="38" t="n">
        <v>46266</v>
      </c>
      <c r="B35" s="31" t="inlineStr">
        <is>
          <t>Lakeshore Home Goods</t>
        </is>
      </c>
      <c r="C35" s="33" t="n">
        <v>116</v>
      </c>
      <c r="D35" s="36">
        <f>IFERROR(INDEX(Lists!$F$2:$F$20,MATCH(B35,Lists!$E$2:$E$20,0)),0)</f>
        <v>22</v>
      </c>
      <c r="E35" s="39" t="n">
        <v>2552</v>
      </c>
      <c r="F35" s="36">
        <f>C35*D35</f>
        <v>2552</v>
      </c>
      <c r="G35" s="36">
        <f>E35-F35</f>
        <v>0</v>
      </c>
      <c r="H35" s="35" t="str">
        <f>IF(ABS(G35)&gt;Lists!$I$2,"Check","OK")</f>
        <v>OK</v>
      </c>
    </row>
    <row r="36" ht="18" customHeight="1">
      <c r="A36" s="38" t="n">
        <v>46266</v>
      </c>
      <c r="B36" s="31" t="inlineStr">
        <is>
          <t>Northline Pet Supply</t>
        </is>
      </c>
      <c r="C36" s="33" t="n">
        <v>204</v>
      </c>
      <c r="D36" s="36">
        <f>IFERROR(INDEX(Lists!$F$2:$F$20,MATCH(B36,Lists!$E$2:$E$20,0)),0)</f>
        <v>26.75</v>
      </c>
      <c r="E36" s="39" t="n">
        <v>5457.4</v>
      </c>
      <c r="F36" s="36">
        <f>C36*D36</f>
        <v>5457</v>
      </c>
      <c r="G36" s="36">
        <f>E36-F36</f>
        <v>0.399999999999636</v>
      </c>
      <c r="H36" s="35" t="str">
        <f>IF(ABS(G36)&gt;Lists!$I$2,"Check","OK")</f>
        <v>OK</v>
      </c>
    </row>
    <row r="37" ht="18" customHeight="1">
      <c r="A37" s="38" t="n">
        <v>46266</v>
      </c>
      <c r="B37" s="31" t="inlineStr">
        <is>
          <t>Mimico Coffee Co.</t>
        </is>
      </c>
      <c r="C37" s="33" t="n">
        <v>68</v>
      </c>
      <c r="D37" s="36">
        <f>IFERROR(INDEX(Lists!$F$2:$F$20,MATCH(B37,Lists!$E$2:$E$20,0)),0)</f>
        <v>19.5</v>
      </c>
      <c r="E37" s="39" t="n">
        <v>1326</v>
      </c>
      <c r="F37" s="36">
        <f>C37*D37</f>
        <v>1326</v>
      </c>
      <c r="G37" s="36">
        <f>E37-F37</f>
        <v>0</v>
      </c>
      <c r="H37" s="35" t="str">
        <f>IF(ABS(G37)&gt;Lists!$I$2,"Check","OK")</f>
        <v>OK</v>
      </c>
    </row>
    <row r="39">
      <c r="F39" s="28" t="inlineStr">
        <is>
          <t>Total variance</t>
        </is>
      </c>
      <c r="G39" s="40">
        <f>SUM(G2:G37)</f>
        <v>514.4</v>
      </c>
    </row>
  </sheetData>
  <autoFilter ref="A1:H37"/>
  <conditionalFormatting sqref="H2:H37">
    <cfRule type="expression" priority="1" dxfId="0">
      <formula>$H2="Check"</formula>
    </cfRule>
    <cfRule type="expression" priority="2" dxfId="1">
      <formula>$H2="OK"</formula>
    </cfRule>
  </conditionalFormatting>
  <conditionalFormatting sqref="A2:H37">
    <cfRule type="expression" priority="3" dxfId="2">
      <formula>$H2="Check"</formula>
    </cfRule>
  </conditionalFormatting>
  <dataValidations count="1">
    <dataValidation sqref="B2:B97" showDropDown="0" showInputMessage="0" showErrorMessage="0" allowBlank="1" type="list">
      <formula1>=Clients</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95A5A6"/>
    <outlinePr summaryBelow="1" summaryRight="1"/>
    <pageSetUpPr fitToPage="1"/>
  </sheetPr>
  <dimension ref="A1:E41"/>
  <sheetViews>
    <sheetView tabSelected="0" zoomScale="10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22" customWidth="1" min="3" max="3"/>
    <col width="13" customWidth="1" min="4" max="4"/>
    <col width="13" customWidth="1" min="5" max="5"/>
  </cols>
  <sheetData>
    <row r="1" ht="30" customHeight="1">
      <c r="A1" s="30" t="inlineStr">
        <is>
          <t>SKU</t>
        </is>
      </c>
      <c r="B1" s="30" t="inlineStr">
        <is>
          <t>Description</t>
        </is>
      </c>
      <c r="C1" s="30" t="inlineStr">
        <is>
          <t>Client</t>
        </is>
      </c>
      <c r="D1" s="30" t="inlineStr">
        <is>
          <t>Bin location</t>
        </is>
      </c>
      <c r="E1" s="30" t="inlineStr">
        <is>
          <t>Unit cost ($)</t>
        </is>
      </c>
    </row>
    <row r="2" ht="18" customHeight="1">
      <c r="A2" s="31" t="inlineStr">
        <is>
          <t>KWA-10120</t>
        </is>
      </c>
      <c r="B2" s="31" t="inlineStr">
        <is>
          <t>Crew neck tee, navy, M (case of 24)</t>
        </is>
      </c>
      <c r="C2" s="31" t="inlineStr">
        <is>
          <t>Kingsway Apparel</t>
        </is>
      </c>
      <c r="D2" s="31" t="inlineStr">
        <is>
          <t>A-01-01</t>
        </is>
      </c>
      <c r="E2" s="39" t="n">
        <v>96</v>
      </c>
    </row>
    <row r="3" ht="18" customHeight="1">
      <c r="A3" s="31" t="inlineStr">
        <is>
          <t>KWA-10137</t>
        </is>
      </c>
      <c r="B3" s="31" t="inlineStr">
        <is>
          <t>Crew neck tee, white, L (case of 24)</t>
        </is>
      </c>
      <c r="C3" s="31" t="inlineStr">
        <is>
          <t>Kingsway Apparel</t>
        </is>
      </c>
      <c r="D3" s="31" t="inlineStr">
        <is>
          <t>A-01-02</t>
        </is>
      </c>
      <c r="E3" s="39" t="n">
        <v>96</v>
      </c>
    </row>
    <row r="4" ht="18" customHeight="1">
      <c r="A4" s="31" t="inlineStr">
        <is>
          <t>KWA-10154</t>
        </is>
      </c>
      <c r="B4" s="31" t="inlineStr">
        <is>
          <t>Fleece hoodie, charcoal, M (case of 12)</t>
        </is>
      </c>
      <c r="C4" s="31" t="inlineStr">
        <is>
          <t>Kingsway Apparel</t>
        </is>
      </c>
      <c r="D4" s="31" t="inlineStr">
        <is>
          <t>A-01-03</t>
        </is>
      </c>
      <c r="E4" s="39" t="n">
        <v>174</v>
      </c>
    </row>
    <row r="5" ht="18" customHeight="1">
      <c r="A5" s="31" t="inlineStr">
        <is>
          <t>KWA-10171</t>
        </is>
      </c>
      <c r="B5" s="31" t="inlineStr">
        <is>
          <t>Fleece hoodie, charcoal, L (case of 12)</t>
        </is>
      </c>
      <c r="C5" s="31" t="inlineStr">
        <is>
          <t>Kingsway Apparel</t>
        </is>
      </c>
      <c r="D5" s="31" t="inlineStr">
        <is>
          <t>A-02-01</t>
        </is>
      </c>
      <c r="E5" s="39" t="n">
        <v>174</v>
      </c>
    </row>
    <row r="6" ht="18" customHeight="1">
      <c r="A6" s="31" t="inlineStr">
        <is>
          <t>KWA-10188</t>
        </is>
      </c>
      <c r="B6" s="31" t="inlineStr">
        <is>
          <t>Rain shell jacket, black, M (case of 6)</t>
        </is>
      </c>
      <c r="C6" s="31" t="inlineStr">
        <is>
          <t>Kingsway Apparel</t>
        </is>
      </c>
      <c r="D6" s="31" t="inlineStr">
        <is>
          <t>A-02-02</t>
        </is>
      </c>
      <c r="E6" s="39" t="n">
        <v>207</v>
      </c>
    </row>
    <row r="7" ht="18" customHeight="1">
      <c r="A7" s="31" t="inlineStr">
        <is>
          <t>KWA-10205</t>
        </is>
      </c>
      <c r="B7" s="31" t="inlineStr">
        <is>
          <t>Wool beanie, assorted (case of 36)</t>
        </is>
      </c>
      <c r="C7" s="31" t="inlineStr">
        <is>
          <t>Kingsway Apparel</t>
        </is>
      </c>
      <c r="D7" s="31" t="inlineStr">
        <is>
          <t>A-02-03</t>
        </is>
      </c>
      <c r="E7" s="39" t="n">
        <v>118.8</v>
      </c>
    </row>
    <row r="8" ht="18" customHeight="1">
      <c r="A8" s="31" t="inlineStr">
        <is>
          <t>KWA-10222</t>
        </is>
      </c>
      <c r="B8" s="31" t="inlineStr">
        <is>
          <t>Cargo pant, olive, 32x32 (case of 12)</t>
        </is>
      </c>
      <c r="C8" s="31" t="inlineStr">
        <is>
          <t>Kingsway Apparel</t>
        </is>
      </c>
      <c r="D8" s="31" t="inlineStr">
        <is>
          <t>A-03-01</t>
        </is>
      </c>
      <c r="E8" s="39" t="n">
        <v>210</v>
      </c>
    </row>
    <row r="9" ht="18" customHeight="1">
      <c r="A9" s="31" t="inlineStr">
        <is>
          <t>KWA-10239</t>
        </is>
      </c>
      <c r="B9" s="31" t="inlineStr">
        <is>
          <t>Athletic sock, 6 pk (case of 24)</t>
        </is>
      </c>
      <c r="C9" s="31" t="inlineStr">
        <is>
          <t>Kingsway Apparel</t>
        </is>
      </c>
      <c r="D9" s="31" t="inlineStr">
        <is>
          <t>A-03-02</t>
        </is>
      </c>
      <c r="E9" s="39" t="n">
        <v>132</v>
      </c>
    </row>
    <row r="10" ht="18" customHeight="1">
      <c r="A10" s="31" t="inlineStr">
        <is>
          <t>KWA-10256</t>
        </is>
      </c>
      <c r="B10" s="31" t="inlineStr">
        <is>
          <t>Work glove, lined, L (case of 12)</t>
        </is>
      </c>
      <c r="C10" s="31" t="inlineStr">
        <is>
          <t>Kingsway Apparel</t>
        </is>
      </c>
      <c r="D10" s="31" t="inlineStr">
        <is>
          <t>A-03-03</t>
        </is>
      </c>
      <c r="E10" s="39" t="n">
        <v>89.40000000000001</v>
      </c>
    </row>
    <row r="11" ht="18" customHeight="1">
      <c r="A11" s="31" t="inlineStr">
        <is>
          <t>KWA-10273</t>
        </is>
      </c>
      <c r="B11" s="31" t="inlineStr">
        <is>
          <t>Zip fleece vest, navy, M (case of 12)</t>
        </is>
      </c>
      <c r="C11" s="31" t="inlineStr">
        <is>
          <t>Kingsway Apparel</t>
        </is>
      </c>
      <c r="D11" s="31" t="inlineStr">
        <is>
          <t>A-04-01</t>
        </is>
      </c>
      <c r="E11" s="39" t="n">
        <v>156</v>
      </c>
    </row>
    <row r="12" ht="18" customHeight="1">
      <c r="A12" s="31" t="inlineStr">
        <is>
          <t>LHG-10123</t>
        </is>
      </c>
      <c r="B12" s="31" t="inlineStr">
        <is>
          <t>Stoneware dinner plate, set of 4</t>
        </is>
      </c>
      <c r="C12" s="31" t="inlineStr">
        <is>
          <t>Lakeshore Home Goods</t>
        </is>
      </c>
      <c r="D12" s="31" t="inlineStr">
        <is>
          <t>B-01-01</t>
        </is>
      </c>
      <c r="E12" s="39" t="n">
        <v>21.8</v>
      </c>
    </row>
    <row r="13" ht="18" customHeight="1">
      <c r="A13" s="31" t="inlineStr">
        <is>
          <t>LHG-10140</t>
        </is>
      </c>
      <c r="B13" s="31" t="inlineStr">
        <is>
          <t>Glass tumbler, 12 oz, set of 6</t>
        </is>
      </c>
      <c r="C13" s="31" t="inlineStr">
        <is>
          <t>Lakeshore Home Goods</t>
        </is>
      </c>
      <c r="D13" s="31" t="inlineStr">
        <is>
          <t>B-01-02</t>
        </is>
      </c>
      <c r="E13" s="39" t="n">
        <v>14.25</v>
      </c>
    </row>
    <row r="14" ht="18" customHeight="1">
      <c r="A14" s="31" t="inlineStr">
        <is>
          <t>LHG-10157</t>
        </is>
      </c>
      <c r="B14" s="31" t="inlineStr">
        <is>
          <t>Cotton bath towel, grey</t>
        </is>
      </c>
      <c r="C14" s="31" t="inlineStr">
        <is>
          <t>Lakeshore Home Goods</t>
        </is>
      </c>
      <c r="D14" s="31" t="inlineStr">
        <is>
          <t>B-01-03</t>
        </is>
      </c>
      <c r="E14" s="39" t="n">
        <v>9.6</v>
      </c>
    </row>
    <row r="15" ht="18" customHeight="1">
      <c r="A15" s="31" t="inlineStr">
        <is>
          <t>LHG-10174</t>
        </is>
      </c>
      <c r="B15" s="31" t="inlineStr">
        <is>
          <t>Queen sheet set, white</t>
        </is>
      </c>
      <c r="C15" s="31" t="inlineStr">
        <is>
          <t>Lakeshore Home Goods</t>
        </is>
      </c>
      <c r="D15" s="31" t="inlineStr">
        <is>
          <t>B-02-01</t>
        </is>
      </c>
      <c r="E15" s="39" t="n">
        <v>31.4</v>
      </c>
    </row>
    <row r="16" ht="18" customHeight="1">
      <c r="A16" s="31" t="inlineStr">
        <is>
          <t>LHG-10191</t>
        </is>
      </c>
      <c r="B16" s="31" t="inlineStr">
        <is>
          <t>Non-stick fry pan, 10 in</t>
        </is>
      </c>
      <c r="C16" s="31" t="inlineStr">
        <is>
          <t>Lakeshore Home Goods</t>
        </is>
      </c>
      <c r="D16" s="31" t="inlineStr">
        <is>
          <t>B-02-02</t>
        </is>
      </c>
      <c r="E16" s="39" t="n">
        <v>17.9</v>
      </c>
    </row>
    <row r="17" ht="18" customHeight="1">
      <c r="A17" s="31" t="inlineStr">
        <is>
          <t>LHG-10208</t>
        </is>
      </c>
      <c r="B17" s="31" t="inlineStr">
        <is>
          <t>Ceramic table lamp, 24 in</t>
        </is>
      </c>
      <c r="C17" s="31" t="inlineStr">
        <is>
          <t>Lakeshore Home Goods</t>
        </is>
      </c>
      <c r="D17" s="31" t="inlineStr">
        <is>
          <t>B-02-03</t>
        </is>
      </c>
      <c r="E17" s="39" t="n">
        <v>38.5</v>
      </c>
    </row>
    <row r="18" ht="18" customHeight="1">
      <c r="A18" s="31" t="inlineStr">
        <is>
          <t>LHG-10225</t>
        </is>
      </c>
      <c r="B18" s="31" t="inlineStr">
        <is>
          <t>Throw pillow cover, linen, 18 in</t>
        </is>
      </c>
      <c r="C18" s="31" t="inlineStr">
        <is>
          <t>Lakeshore Home Goods</t>
        </is>
      </c>
      <c r="D18" s="31" t="inlineStr">
        <is>
          <t>B-03-01</t>
        </is>
      </c>
      <c r="E18" s="39" t="n">
        <v>6.75</v>
      </c>
    </row>
    <row r="19" ht="18" customHeight="1">
      <c r="A19" s="31" t="inlineStr">
        <is>
          <t>LHG-10242</t>
        </is>
      </c>
      <c r="B19" s="31" t="inlineStr">
        <is>
          <t>Bamboo cutting board, large</t>
        </is>
      </c>
      <c r="C19" s="31" t="inlineStr">
        <is>
          <t>Lakeshore Home Goods</t>
        </is>
      </c>
      <c r="D19" s="31" t="inlineStr">
        <is>
          <t>B-03-02</t>
        </is>
      </c>
      <c r="E19" s="39" t="n">
        <v>11.2</v>
      </c>
    </row>
    <row r="20" ht="18" customHeight="1">
      <c r="A20" s="31" t="inlineStr">
        <is>
          <t>LHG-10259</t>
        </is>
      </c>
      <c r="B20" s="31" t="inlineStr">
        <is>
          <t>Wall clock, 12 in, black</t>
        </is>
      </c>
      <c r="C20" s="31" t="inlineStr">
        <is>
          <t>Lakeshore Home Goods</t>
        </is>
      </c>
      <c r="D20" s="31" t="inlineStr">
        <is>
          <t>B-03-03</t>
        </is>
      </c>
      <c r="E20" s="39" t="n">
        <v>13.8</v>
      </c>
    </row>
    <row r="21" ht="18" customHeight="1">
      <c r="A21" s="31" t="inlineStr">
        <is>
          <t>LHG-10276</t>
        </is>
      </c>
      <c r="B21" s="31" t="inlineStr">
        <is>
          <t>Storage bin, woven, set of 3</t>
        </is>
      </c>
      <c r="C21" s="31" t="inlineStr">
        <is>
          <t>Lakeshore Home Goods</t>
        </is>
      </c>
      <c r="D21" s="31" t="inlineStr">
        <is>
          <t>B-04-01</t>
        </is>
      </c>
      <c r="E21" s="39" t="n">
        <v>19.95</v>
      </c>
    </row>
    <row r="22" ht="18" customHeight="1">
      <c r="A22" s="31" t="inlineStr">
        <is>
          <t>NPS-10126</t>
        </is>
      </c>
      <c r="B22" s="31" t="inlineStr">
        <is>
          <t>Dry dog food, adult, 13.6 kg</t>
        </is>
      </c>
      <c r="C22" s="31" t="inlineStr">
        <is>
          <t>Northline Pet Supply</t>
        </is>
      </c>
      <c r="D22" s="31" t="inlineStr">
        <is>
          <t>C-01-01</t>
        </is>
      </c>
      <c r="E22" s="39" t="n">
        <v>41.2</v>
      </c>
    </row>
    <row r="23" ht="18" customHeight="1">
      <c r="A23" s="31" t="inlineStr">
        <is>
          <t>NPS-10143</t>
        </is>
      </c>
      <c r="B23" s="31" t="inlineStr">
        <is>
          <t>Dry cat food, indoor, 7 kg</t>
        </is>
      </c>
      <c r="C23" s="31" t="inlineStr">
        <is>
          <t>Northline Pet Supply</t>
        </is>
      </c>
      <c r="D23" s="31" t="inlineStr">
        <is>
          <t>C-01-02</t>
        </is>
      </c>
      <c r="E23" s="39" t="n">
        <v>28.9</v>
      </c>
    </row>
    <row r="24" ht="18" customHeight="1">
      <c r="A24" s="31" t="inlineStr">
        <is>
          <t>NPS-10160</t>
        </is>
      </c>
      <c r="B24" s="31" t="inlineStr">
        <is>
          <t>Clumping cat litter, 18 kg</t>
        </is>
      </c>
      <c r="C24" s="31" t="inlineStr">
        <is>
          <t>Northline Pet Supply</t>
        </is>
      </c>
      <c r="D24" s="31" t="inlineStr">
        <is>
          <t>C-01-03</t>
        </is>
      </c>
      <c r="E24" s="39" t="n">
        <v>12.4</v>
      </c>
    </row>
    <row r="25" ht="18" customHeight="1">
      <c r="A25" s="31" t="inlineStr">
        <is>
          <t>NPS-10177</t>
        </is>
      </c>
      <c r="B25" s="31" t="inlineStr">
        <is>
          <t>Dog leash, nylon, 6 ft</t>
        </is>
      </c>
      <c r="C25" s="31" t="inlineStr">
        <is>
          <t>Northline Pet Supply</t>
        </is>
      </c>
      <c r="D25" s="31" t="inlineStr">
        <is>
          <t>C-02-01</t>
        </is>
      </c>
      <c r="E25" s="39" t="n">
        <v>5.85</v>
      </c>
    </row>
    <row r="26" ht="18" customHeight="1">
      <c r="A26" s="31" t="inlineStr">
        <is>
          <t>NPS-10194</t>
        </is>
      </c>
      <c r="B26" s="31" t="inlineStr">
        <is>
          <t>Rawhide-free chew, 10 pk</t>
        </is>
      </c>
      <c r="C26" s="31" t="inlineStr">
        <is>
          <t>Northline Pet Supply</t>
        </is>
      </c>
      <c r="D26" s="31" t="inlineStr">
        <is>
          <t>C-02-02</t>
        </is>
      </c>
      <c r="E26" s="39" t="n">
        <v>8.699999999999999</v>
      </c>
    </row>
    <row r="27" ht="18" customHeight="1">
      <c r="A27" s="31" t="inlineStr">
        <is>
          <t>NPS-10211</t>
        </is>
      </c>
      <c r="B27" s="31" t="inlineStr">
        <is>
          <t>Stainless dog bowl, large</t>
        </is>
      </c>
      <c r="C27" s="31" t="inlineStr">
        <is>
          <t>Northline Pet Supply</t>
        </is>
      </c>
      <c r="D27" s="31" t="inlineStr">
        <is>
          <t>C-02-03</t>
        </is>
      </c>
      <c r="E27" s="39" t="n">
        <v>6.1</v>
      </c>
    </row>
    <row r="28" ht="18" customHeight="1">
      <c r="A28" s="31" t="inlineStr">
        <is>
          <t>NPS-10228</t>
        </is>
      </c>
      <c r="B28" s="31" t="inlineStr">
        <is>
          <t>Cat scratching post, 32 in</t>
        </is>
      </c>
      <c r="C28" s="31" t="inlineStr">
        <is>
          <t>Northline Pet Supply</t>
        </is>
      </c>
      <c r="D28" s="31" t="inlineStr">
        <is>
          <t>C-03-01</t>
        </is>
      </c>
      <c r="E28" s="39" t="n">
        <v>22.6</v>
      </c>
    </row>
    <row r="29" ht="18" customHeight="1">
      <c r="A29" s="31" t="inlineStr">
        <is>
          <t>NPS-10245</t>
        </is>
      </c>
      <c r="B29" s="31" t="inlineStr">
        <is>
          <t>Puppy training pads, 100 ct</t>
        </is>
      </c>
      <c r="C29" s="31" t="inlineStr">
        <is>
          <t>Northline Pet Supply</t>
        </is>
      </c>
      <c r="D29" s="31" t="inlineStr">
        <is>
          <t>C-03-02</t>
        </is>
      </c>
      <c r="E29" s="39" t="n">
        <v>18.3</v>
      </c>
    </row>
    <row r="30" ht="18" customHeight="1">
      <c r="A30" s="31" t="inlineStr">
        <is>
          <t>NPS-10262</t>
        </is>
      </c>
      <c r="B30" s="31" t="inlineStr">
        <is>
          <t>Dog bed, orthopedic, medium</t>
        </is>
      </c>
      <c r="C30" s="31" t="inlineStr">
        <is>
          <t>Northline Pet Supply</t>
        </is>
      </c>
      <c r="D30" s="31" t="inlineStr">
        <is>
          <t>C-03-03</t>
        </is>
      </c>
      <c r="E30" s="39" t="n">
        <v>34.75</v>
      </c>
    </row>
    <row r="31" ht="18" customHeight="1">
      <c r="A31" s="31" t="inlineStr">
        <is>
          <t>NPS-10279</t>
        </is>
      </c>
      <c r="B31" s="31" t="inlineStr">
        <is>
          <t>Bird seed mix, 4.5 kg</t>
        </is>
      </c>
      <c r="C31" s="31" t="inlineStr">
        <is>
          <t>Northline Pet Supply</t>
        </is>
      </c>
      <c r="D31" s="31" t="inlineStr">
        <is>
          <t>C-04-01</t>
        </is>
      </c>
      <c r="E31" s="39" t="n">
        <v>9.949999999999999</v>
      </c>
    </row>
    <row r="32" ht="18" customHeight="1">
      <c r="A32" s="31" t="inlineStr">
        <is>
          <t>MCC-10129</t>
        </is>
      </c>
      <c r="B32" s="31" t="inlineStr">
        <is>
          <t>Whole bean, house blend, 1 kg</t>
        </is>
      </c>
      <c r="C32" s="31" t="inlineStr">
        <is>
          <t>Mimico Coffee Co.</t>
        </is>
      </c>
      <c r="D32" s="31" t="inlineStr">
        <is>
          <t>D-01-01</t>
        </is>
      </c>
      <c r="E32" s="39" t="n">
        <v>17.4</v>
      </c>
    </row>
    <row r="33" ht="18" customHeight="1">
      <c r="A33" s="31" t="inlineStr">
        <is>
          <t>MCC-10146</t>
        </is>
      </c>
      <c r="B33" s="31" t="inlineStr">
        <is>
          <t>Whole bean, dark roast, 1 kg</t>
        </is>
      </c>
      <c r="C33" s="31" t="inlineStr">
        <is>
          <t>Mimico Coffee Co.</t>
        </is>
      </c>
      <c r="D33" s="31" t="inlineStr">
        <is>
          <t>D-01-02</t>
        </is>
      </c>
      <c r="E33" s="39" t="n">
        <v>18.1</v>
      </c>
    </row>
    <row r="34" ht="18" customHeight="1">
      <c r="A34" s="31" t="inlineStr">
        <is>
          <t>MCC-10163</t>
        </is>
      </c>
      <c r="B34" s="31" t="inlineStr">
        <is>
          <t>Ground, medium roast, 340 g</t>
        </is>
      </c>
      <c r="C34" s="31" t="inlineStr">
        <is>
          <t>Mimico Coffee Co.</t>
        </is>
      </c>
      <c r="D34" s="31" t="inlineStr">
        <is>
          <t>D-01-03</t>
        </is>
      </c>
      <c r="E34" s="39" t="n">
        <v>6.95</v>
      </c>
    </row>
    <row r="35" ht="18" customHeight="1">
      <c r="A35" s="31" t="inlineStr">
        <is>
          <t>MCC-10180</t>
        </is>
      </c>
      <c r="B35" s="31" t="inlineStr">
        <is>
          <t>Decaf whole bean, 1 kg</t>
        </is>
      </c>
      <c r="C35" s="31" t="inlineStr">
        <is>
          <t>Mimico Coffee Co.</t>
        </is>
      </c>
      <c r="D35" s="31" t="inlineStr">
        <is>
          <t>D-02-01</t>
        </is>
      </c>
      <c r="E35" s="39" t="n">
        <v>19.2</v>
      </c>
    </row>
    <row r="36" ht="18" customHeight="1">
      <c r="A36" s="31" t="inlineStr">
        <is>
          <t>MCC-10197</t>
        </is>
      </c>
      <c r="B36" s="31" t="inlineStr">
        <is>
          <t>Paper cup, 12 oz (sleeve of 50)</t>
        </is>
      </c>
      <c r="C36" s="31" t="inlineStr">
        <is>
          <t>Mimico Coffee Co.</t>
        </is>
      </c>
      <c r="D36" s="31" t="inlineStr">
        <is>
          <t>D-02-02</t>
        </is>
      </c>
      <c r="E36" s="39" t="n">
        <v>4.6</v>
      </c>
    </row>
    <row r="37" ht="18" customHeight="1">
      <c r="A37" s="31" t="inlineStr">
        <is>
          <t>MCC-10214</t>
        </is>
      </c>
      <c r="B37" s="31" t="inlineStr">
        <is>
          <t>Cup lid, 12 oz (sleeve of 100)</t>
        </is>
      </c>
      <c r="C37" s="31" t="inlineStr">
        <is>
          <t>Mimico Coffee Co.</t>
        </is>
      </c>
      <c r="D37" s="31" t="inlineStr">
        <is>
          <t>D-02-03</t>
        </is>
      </c>
      <c r="E37" s="39" t="n">
        <v>3.9</v>
      </c>
    </row>
    <row r="38" ht="18" customHeight="1">
      <c r="A38" s="31" t="inlineStr">
        <is>
          <t>MCC-10231</t>
        </is>
      </c>
      <c r="B38" s="31" t="inlineStr">
        <is>
          <t>Cold brew pack, 6 x 355 ml</t>
        </is>
      </c>
      <c r="C38" s="31" t="inlineStr">
        <is>
          <t>Mimico Coffee Co.</t>
        </is>
      </c>
      <c r="D38" s="31" t="inlineStr">
        <is>
          <t>D-03-01</t>
        </is>
      </c>
      <c r="E38" s="39" t="n">
        <v>11.8</v>
      </c>
    </row>
    <row r="39" ht="18" customHeight="1">
      <c r="A39" s="31" t="inlineStr">
        <is>
          <t>MCC-10248</t>
        </is>
      </c>
      <c r="B39" s="31" t="inlineStr">
        <is>
          <t>Pour-over filters, 100 ct</t>
        </is>
      </c>
      <c r="C39" s="31" t="inlineStr">
        <is>
          <t>Mimico Coffee Co.</t>
        </is>
      </c>
      <c r="D39" s="31" t="inlineStr">
        <is>
          <t>D-03-02</t>
        </is>
      </c>
      <c r="E39" s="39" t="n">
        <v>3.25</v>
      </c>
    </row>
    <row r="40" ht="18" customHeight="1">
      <c r="A40" s="31" t="inlineStr">
        <is>
          <t>MCC-10265</t>
        </is>
      </c>
      <c r="B40" s="31" t="inlineStr">
        <is>
          <t>Espresso pods, 50 ct</t>
        </is>
      </c>
      <c r="C40" s="31" t="inlineStr">
        <is>
          <t>Mimico Coffee Co.</t>
        </is>
      </c>
      <c r="D40" s="31" t="inlineStr">
        <is>
          <t>D-03-03</t>
        </is>
      </c>
      <c r="E40" s="39" t="n">
        <v>21.5</v>
      </c>
    </row>
    <row r="41" ht="18" customHeight="1">
      <c r="A41" s="31" t="inlineStr">
        <is>
          <t>MCC-10282</t>
        </is>
      </c>
      <c r="B41" s="31" t="inlineStr">
        <is>
          <t>Travel mug, 16 oz, steel</t>
        </is>
      </c>
      <c r="C41" s="31" t="inlineStr">
        <is>
          <t>Mimico Coffee Co.</t>
        </is>
      </c>
      <c r="D41" s="31" t="inlineStr">
        <is>
          <t>D-04-01</t>
        </is>
      </c>
      <c r="E41" s="39" t="n">
        <v>9.4</v>
      </c>
    </row>
  </sheetData>
  <autoFilter ref="A1:E41"/>
  <pageMargins left="0.75" right="0.75" top="1" bottom="1" header="0.5" footer="0.5"/>
  <pageSetup orientation="landscape" fitToHeight="0" fitToWidth="1"/>
</worksheet>
</file>

<file path=xl/worksheets/sheet7.xml><?xml version="1.0" encoding="utf-8"?>
<worksheet xmlns="http://schemas.openxmlformats.org/spreadsheetml/2006/main">
  <sheetPr>
    <tabColor rgb="0095A5A6"/>
    <outlinePr summaryBelow="1" summaryRight="1"/>
    <pageSetUpPr fitToPage="1"/>
  </sheetPr>
  <dimension ref="A1:I8"/>
  <sheetViews>
    <sheetView showGridLines="0" tabSelected="0" workbookViewId="0">
      <selection activeCell="A1" sqref="A1"/>
    </sheetView>
  </sheetViews>
  <sheetFormatPr baseColWidth="8" defaultRowHeight="15"/>
  <cols>
    <col width="24" customWidth="1" min="1" max="1"/>
    <col width="3" customWidth="1" min="2" max="2"/>
    <col width="22" customWidth="1" min="3" max="3"/>
    <col width="3" customWidth="1" min="4" max="4"/>
    <col width="24" customWidth="1" min="5" max="5"/>
    <col width="18" customWidth="1" min="6" max="6"/>
    <col width="3" customWidth="1" min="7" max="7"/>
    <col width="30" customWidth="1" min="8" max="8"/>
    <col width="12" customWidth="1" min="9" max="9"/>
  </cols>
  <sheetData>
    <row r="1" ht="30" customHeight="1">
      <c r="A1" s="30" t="inlineStr">
        <is>
          <t>Reason codes</t>
        </is>
      </c>
      <c r="C1" s="30" t="inlineStr">
        <is>
          <t>Carriers</t>
        </is>
      </c>
      <c r="E1" s="30" t="inlineStr">
        <is>
          <t>Client</t>
        </is>
      </c>
      <c r="F1" s="30" t="inlineStr">
        <is>
          <t>Storage rate ($ per pallet per month)</t>
        </is>
      </c>
      <c r="H1" s="30" t="inlineStr">
        <is>
          <t>Setting</t>
        </is>
      </c>
      <c r="I1" s="30" t="inlineStr">
        <is>
          <t>Value</t>
        </is>
      </c>
    </row>
    <row r="2">
      <c r="A2" s="41" t="inlineStr">
        <is>
          <t>Count error</t>
        </is>
      </c>
      <c r="C2" s="41" t="inlineStr">
        <is>
          <t>Purolator Freight</t>
        </is>
      </c>
      <c r="E2" s="41" t="inlineStr">
        <is>
          <t>Kingsway Apparel</t>
        </is>
      </c>
      <c r="F2" s="42" t="n">
        <v>24.5</v>
      </c>
      <c r="H2" t="inlineStr">
        <is>
          <t>Billing tolerance ($)</t>
        </is>
      </c>
      <c r="I2" s="43" t="n">
        <v>1</v>
      </c>
    </row>
    <row r="3">
      <c r="A3" s="41" t="inlineStr">
        <is>
          <t>Mis-pick</t>
        </is>
      </c>
      <c r="C3" s="41" t="inlineStr">
        <is>
          <t>Day &amp; Ross</t>
        </is>
      </c>
      <c r="E3" s="41" t="inlineStr">
        <is>
          <t>Lakeshore Home Goods</t>
        </is>
      </c>
      <c r="F3" s="42" t="n">
        <v>22</v>
      </c>
      <c r="H3" s="44" t="inlineStr">
        <is>
          <t>Invoices more than this away from expected are flagged.</t>
        </is>
      </c>
    </row>
    <row r="4">
      <c r="A4" s="41" t="inlineStr">
        <is>
          <t>Receiving error</t>
        </is>
      </c>
      <c r="C4" s="41" t="inlineStr">
        <is>
          <t>Manitoulin Transport</t>
        </is>
      </c>
      <c r="E4" s="41" t="inlineStr">
        <is>
          <t>Northline Pet Supply</t>
        </is>
      </c>
      <c r="F4" s="42" t="n">
        <v>26.75</v>
      </c>
    </row>
    <row r="5">
      <c r="A5" s="41" t="inlineStr">
        <is>
          <t>Damaged, not recorded</t>
        </is>
      </c>
      <c r="C5" s="41" t="inlineStr">
        <is>
          <t>Canpar</t>
        </is>
      </c>
      <c r="E5" s="41" t="inlineStr">
        <is>
          <t>Mimico Coffee Co.</t>
        </is>
      </c>
      <c r="F5" s="42" t="n">
        <v>19.5</v>
      </c>
    </row>
    <row r="6">
      <c r="A6" s="41" t="inlineStr">
        <is>
          <t>Unrecorded transfer</t>
        </is>
      </c>
      <c r="C6" s="41" t="inlineStr">
        <is>
          <t>UPS Freight</t>
        </is>
      </c>
    </row>
    <row r="7">
      <c r="A7" s="41" t="inlineStr">
        <is>
          <t>Theft or loss</t>
        </is>
      </c>
      <c r="C7" s="41" t="inlineStr">
        <is>
          <t>Customer pickup</t>
        </is>
      </c>
      <c r="E7" s="44" t="inlineStr">
        <is>
          <t>Rates are illustrative, not quotes.</t>
        </is>
      </c>
    </row>
    <row r="8">
      <c r="A8" s="41" t="inlineStr">
        <is>
          <t>Under review</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creator>Lekan Lawal</dc:creator>
  <dc:title>Shipment and Inventory Discrepancy Checker</dc:title>
  <dcterms:created xsi:type="dcterms:W3CDTF">2026-10-09T09:00:00Z</dcterms:created>
  <dcterms:modified xsi:type="dcterms:W3CDTF">2026-10-09T17:03:41Z</dcterms:modified>
  <cp:lastModifiedBy>Lekan Lawal</cp:lastModifiedBy>
</cp:coreProperties>
</file>